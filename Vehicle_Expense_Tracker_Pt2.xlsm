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228" codeName="{8C4F1C90-05EB-6A55-5F09-09C24B55AC0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SUS\Dropbox\Randy-Shared (1)\Updated Workbooks With Ads\"/>
    </mc:Choice>
  </mc:AlternateContent>
  <xr:revisionPtr revIDLastSave="0" documentId="10_ncr:8100000_{A4B96892-50FA-448C-9F3C-4715503DFB80}" xr6:coauthVersionLast="34" xr6:coauthVersionMax="34" xr10:uidLastSave="{00000000-0000-0000-0000-000000000000}"/>
  <bookViews>
    <workbookView xWindow="480" yWindow="80" windowWidth="27800" windowHeight="14130" tabRatio="485" xr2:uid="{00000000-000D-0000-FFFF-FFFF00000000}"/>
  </bookViews>
  <sheets>
    <sheet name="Vehicle Expense Tracker" sheetId="1" r:id="rId1"/>
    <sheet name="Vehicle List" sheetId="2" r:id="rId2"/>
    <sheet name="Expenses List" sheetId="3" r:id="rId3"/>
    <sheet name="Fuel Log" sheetId="4" r:id="rId4"/>
    <sheet name="Reminders" sheetId="5" r:id="rId5"/>
    <sheet name="Meter Tracking" sheetId="6" r:id="rId6"/>
  </sheets>
  <externalReferences>
    <externalReference r:id="rId7"/>
  </externalReferences>
  <definedNames>
    <definedName name="_xlnm._FilterDatabase" localSheetId="4" hidden="1">Reminders!$A$3:$G$7</definedName>
    <definedName name="_xlnm.Criteria" localSheetId="4">Reminders!$I$2:$J$3</definedName>
    <definedName name="Exp_Amount">OFFSET('Expenses List'!$C$3,1,,COUNTA('Expenses List'!$C$3:$C$9999)-1,1)</definedName>
    <definedName name="Exp_Date">OFFSET('Expenses List'!$B$3,1,,COUNTA('Expenses List'!$B$3:$B$9999)-1,1)</definedName>
    <definedName name="Exp_Type">OFFSET('Expenses List'!$D$3,1,,COUNTA('Expenses List'!$D$3:$D$9999)-1,1)</definedName>
    <definedName name="Exp_Vehicle">OFFSET('Expenses List'!$A$3,1,,COUNTA('Expenses List'!$A$3:$A$9999)-1,1)</definedName>
    <definedName name="ExpenseTypes">'Vehicle Expense Tracker'!$A$19:$A$25</definedName>
    <definedName name="_xlnm.Extract" localSheetId="4">Reminders!$L$2:$R$2</definedName>
    <definedName name="Fuel_Amount">OFFSET('Fuel Log'!$C$3,1,,COUNTA('Fuel Log'!$C$3:$C$999)-1,1)</definedName>
    <definedName name="Fuel_Date">OFFSET('Fuel Log'!$B$3,1,,COUNTA('Fuel Log'!$B$3:$B$999)-1,1)</definedName>
    <definedName name="Fuel_Vehicle">OFFSET('Fuel Log'!$A$3,1,,COUNTA('Fuel Log'!$A$3:$A$999)-1,1)</definedName>
    <definedName name="Vehicles">OFFSET('Vehicle List'!$A$3,1,,COUNTA('Vehicle List'!$A$3:$A$13)-1,1)</definedName>
  </definedNames>
  <calcPr calcId="162913"/>
</workbook>
</file>

<file path=xl/calcChain.xml><?xml version="1.0" encoding="utf-8"?>
<calcChain xmlns="http://schemas.openxmlformats.org/spreadsheetml/2006/main">
  <c r="O78" i="1" l="1"/>
  <c r="P78" i="1" s="1"/>
  <c r="O79" i="1"/>
  <c r="P79" i="1" s="1"/>
  <c r="O80" i="1"/>
  <c r="P80" i="1" s="1"/>
  <c r="O81" i="1"/>
  <c r="P81" i="1" s="1"/>
  <c r="O82" i="1"/>
  <c r="P82" i="1" s="1"/>
  <c r="G7" i="5"/>
  <c r="J3" i="5"/>
  <c r="B13" i="2"/>
  <c r="C13" i="2"/>
  <c r="D13" i="2"/>
  <c r="E13" i="2"/>
  <c r="F13" i="2"/>
  <c r="G13" i="2"/>
  <c r="H13" i="2"/>
  <c r="A13" i="2"/>
  <c r="D6" i="1" l="1"/>
  <c r="D7" i="1"/>
  <c r="D8" i="1"/>
  <c r="D9" i="1"/>
  <c r="D10" i="1"/>
  <c r="D11" i="1"/>
  <c r="D12" i="1"/>
  <c r="D13" i="1"/>
  <c r="D14" i="1"/>
  <c r="D15" i="1"/>
  <c r="B4" i="1"/>
  <c r="B5" i="4" l="1"/>
  <c r="S83" i="1" l="1"/>
  <c r="S87" i="1"/>
  <c r="S80" i="1"/>
  <c r="S88" i="1"/>
  <c r="S81" i="1"/>
  <c r="S85" i="1"/>
  <c r="S82" i="1"/>
  <c r="S86" i="1"/>
  <c r="S78" i="1"/>
  <c r="B6" i="4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B22" i="4" s="1"/>
  <c r="B23" i="4" s="1"/>
  <c r="B24" i="4" s="1"/>
  <c r="B25" i="4" s="1"/>
  <c r="B26" i="4" s="1"/>
  <c r="B27" i="4" s="1"/>
  <c r="B28" i="4" s="1"/>
  <c r="B29" i="4" s="1"/>
  <c r="B30" i="4" s="1"/>
  <c r="B31" i="4" s="1"/>
  <c r="B32" i="4" s="1"/>
  <c r="B33" i="4" s="1"/>
  <c r="B34" i="4" s="1"/>
  <c r="B35" i="4" s="1"/>
  <c r="B36" i="4" s="1"/>
  <c r="B37" i="4" s="1"/>
  <c r="B38" i="4" s="1"/>
  <c r="S89" i="1" l="1"/>
  <c r="S84" i="1"/>
  <c r="S79" i="1"/>
</calcChain>
</file>

<file path=xl/sharedStrings.xml><?xml version="1.0" encoding="utf-8"?>
<sst xmlns="http://schemas.openxmlformats.org/spreadsheetml/2006/main" count="496" uniqueCount="149">
  <si>
    <t>VEHICLES</t>
  </si>
  <si>
    <t>Vehicle List</t>
  </si>
  <si>
    <t>Car 1</t>
  </si>
  <si>
    <t>Car 2</t>
  </si>
  <si>
    <t>Car 3</t>
  </si>
  <si>
    <t>Car 4</t>
  </si>
  <si>
    <t>Car 5</t>
  </si>
  <si>
    <t>Car 6</t>
  </si>
  <si>
    <t>Sel. Tab</t>
  </si>
  <si>
    <t>Picture</t>
  </si>
  <si>
    <t>Make</t>
  </si>
  <si>
    <t>Model</t>
  </si>
  <si>
    <t>Type</t>
  </si>
  <si>
    <t>Seats</t>
  </si>
  <si>
    <t>Vehicle Picture</t>
  </si>
  <si>
    <t>REPAIRS &amp; EXPENSES</t>
  </si>
  <si>
    <t>Date</t>
  </si>
  <si>
    <t>Amount</t>
  </si>
  <si>
    <t>Vehicle</t>
  </si>
  <si>
    <t>Notes</t>
  </si>
  <si>
    <t>Exp. Type</t>
  </si>
  <si>
    <t>Name</t>
  </si>
  <si>
    <t>F6</t>
  </si>
  <si>
    <t>Plate #</t>
  </si>
  <si>
    <t>FUEL PURCHASES &amp; TRACKING</t>
  </si>
  <si>
    <t>Liters</t>
  </si>
  <si>
    <t>REMINDERS</t>
  </si>
  <si>
    <t>Next Date</t>
  </si>
  <si>
    <t>Last Date</t>
  </si>
  <si>
    <t>Oil Change</t>
  </si>
  <si>
    <t>METER TRACKING</t>
  </si>
  <si>
    <t>VEHICLE DASHBOARD</t>
  </si>
  <si>
    <t>Sedan</t>
  </si>
  <si>
    <t>Toyota</t>
  </si>
  <si>
    <t>Camry</t>
  </si>
  <si>
    <t>Test Car Notes</t>
  </si>
  <si>
    <t>H6</t>
  </si>
  <si>
    <t>F8</t>
  </si>
  <si>
    <t>H8</t>
  </si>
  <si>
    <t>F10</t>
  </si>
  <si>
    <t>H10</t>
  </si>
  <si>
    <t>F12</t>
  </si>
  <si>
    <t>J13</t>
  </si>
  <si>
    <t>C:\Users\neilr\Dropbox\Excel4Freelancers\FreeTrainingVideos\Vehicle Expense Tracker\Car3.png</t>
  </si>
  <si>
    <t>Oil</t>
  </si>
  <si>
    <t>Tires</t>
  </si>
  <si>
    <t>Repairs</t>
  </si>
  <si>
    <t>Cleaning</t>
  </si>
  <si>
    <t>Expenses</t>
  </si>
  <si>
    <t>Vendor</t>
  </si>
  <si>
    <t>F19</t>
  </si>
  <si>
    <t>H19</t>
  </si>
  <si>
    <t>J19</t>
  </si>
  <si>
    <t>F21</t>
  </si>
  <si>
    <t>H21</t>
  </si>
  <si>
    <t>F23</t>
  </si>
  <si>
    <t>Fred's Garage</t>
  </si>
  <si>
    <t>J32</t>
  </si>
  <si>
    <t>F34</t>
  </si>
  <si>
    <t>H34</t>
  </si>
  <si>
    <t>J34</t>
  </si>
  <si>
    <t>F36</t>
  </si>
  <si>
    <t>Unit</t>
  </si>
  <si>
    <t>Qty</t>
  </si>
  <si>
    <t>Station</t>
  </si>
  <si>
    <t>Fuel Purchases</t>
  </si>
  <si>
    <t>Test notes</t>
  </si>
  <si>
    <t>Freds Gas</t>
  </si>
  <si>
    <t>Test Gas Notes</t>
  </si>
  <si>
    <t>F32</t>
  </si>
  <si>
    <t>H32</t>
  </si>
  <si>
    <t>Status</t>
  </si>
  <si>
    <t>Active</t>
  </si>
  <si>
    <t>F45</t>
  </si>
  <si>
    <t>H45</t>
  </si>
  <si>
    <t>J45</t>
  </si>
  <si>
    <t>F47</t>
  </si>
  <si>
    <t>J47</t>
  </si>
  <si>
    <t>Reminders</t>
  </si>
  <si>
    <t>Freq.</t>
  </si>
  <si>
    <t>Criteria</t>
  </si>
  <si>
    <t>Results</t>
  </si>
  <si>
    <t>KM</t>
  </si>
  <si>
    <t>Reading</t>
  </si>
  <si>
    <t>F63</t>
  </si>
  <si>
    <t>H63</t>
  </si>
  <si>
    <t>J63</t>
  </si>
  <si>
    <t>F65</t>
  </si>
  <si>
    <t>F67</t>
  </si>
  <si>
    <t>Meter Tracking</t>
  </si>
  <si>
    <t>Toll Fees</t>
  </si>
  <si>
    <t>Row</t>
  </si>
  <si>
    <t>Tire Check</t>
  </si>
  <si>
    <t>Fluid Check</t>
  </si>
  <si>
    <t>Sel. Car</t>
  </si>
  <si>
    <t>Vehicle:</t>
  </si>
  <si>
    <t>Date:</t>
  </si>
  <si>
    <t>Amount:</t>
  </si>
  <si>
    <t>Expense Type:</t>
  </si>
  <si>
    <t>Vendor:</t>
  </si>
  <si>
    <t>Notes:</t>
  </si>
  <si>
    <t>Unit:</t>
  </si>
  <si>
    <t>Qty:</t>
  </si>
  <si>
    <t>Name:</t>
  </si>
  <si>
    <t>Next Date:</t>
  </si>
  <si>
    <t>Every:</t>
  </si>
  <si>
    <t>days</t>
  </si>
  <si>
    <t>Status:</t>
  </si>
  <si>
    <t>Frequency</t>
  </si>
  <si>
    <t>Type:</t>
  </si>
  <si>
    <t>Reading:</t>
  </si>
  <si>
    <t>From:</t>
  </si>
  <si>
    <t>To:</t>
  </si>
  <si>
    <t>VEHICLE EXPENSE TRACKER</t>
  </si>
  <si>
    <t>Veh Db Row</t>
  </si>
  <si>
    <t>New Veh</t>
  </si>
  <si>
    <t xml:space="preserve">Car Load </t>
  </si>
  <si>
    <t xml:space="preserve"> </t>
  </si>
  <si>
    <t>Car 7</t>
  </si>
  <si>
    <t>New</t>
  </si>
  <si>
    <t>Test Nots</t>
  </si>
  <si>
    <t>C:\Users\neilr\Dropbox\Excel4Freelancers\FreeTrainingVideos\Vehicle Expense Tracker\Car1.png</t>
  </si>
  <si>
    <t>Car 8</t>
  </si>
  <si>
    <t>test</t>
  </si>
  <si>
    <t>Honda</t>
  </si>
  <si>
    <t>C:\Users\neilr\Dropbox\Excel4Freelancers\FreeTrainingVideos\Vehicle Expense Tracker\Car2.png</t>
  </si>
  <si>
    <t>Tolls</t>
  </si>
  <si>
    <t>Freds Garage</t>
  </si>
  <si>
    <t>Test Repairs</t>
  </si>
  <si>
    <t>Cleaning is expensive</t>
  </si>
  <si>
    <t>Freds Station</t>
  </si>
  <si>
    <t>Fred is nice</t>
  </si>
  <si>
    <t>Oil Check</t>
  </si>
  <si>
    <t>Km</t>
  </si>
  <si>
    <t>Test Notes</t>
  </si>
  <si>
    <t>Repair &amp; Expenses</t>
  </si>
  <si>
    <t>Fuel Costs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</si>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</sst>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$&quot;#,##0.00_);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33CC"/>
      <name val="Calibri"/>
      <family val="2"/>
      <scheme val="minor"/>
    </font>
    <font>
      <sz val="22"/>
      <color rgb="FF0033CC"/>
      <name val="Arial Rounded MT Bold"/>
      <family val="2"/>
    </font>
    <font>
      <b/>
      <sz val="16"/>
      <color rgb="FF0033CC"/>
      <name val="Calibri"/>
      <family val="2"/>
      <scheme val="minor"/>
    </font>
  </fonts>
  <fills count="19">
    <fill>
      <patternFill patternType="none"/>
    </fill>
    <fill>
      <patternFill patternType="gray125"/>
    </fill>
    <fill>
      <gradientFill degree="90">
        <stop position="0">
          <color theme="4" tint="0.40000610370189521"/>
        </stop>
        <stop position="1">
          <color theme="4" tint="0.59999389629810485"/>
        </stop>
      </gradientFill>
    </fill>
    <fill>
      <gradientFill degree="90">
        <stop position="0">
          <color theme="4" tint="0.59999389629810485"/>
        </stop>
        <stop position="1">
          <color theme="4" tint="0.80001220740379042"/>
        </stop>
      </gradient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gradientFill degree="180">
        <stop position="0">
          <color theme="4" tint="0.40000610370189521"/>
        </stop>
        <stop position="1">
          <color theme="4" tint="0.59999389629810485"/>
        </stop>
      </gradient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30">
    <border>
      <left/>
      <right/>
      <top/>
      <bottom/>
      <diagonal/>
    </border>
    <border>
      <left style="thin">
        <color rgb="FF0033CC"/>
      </left>
      <right style="thin">
        <color rgb="FF0033CC"/>
      </right>
      <top style="thin">
        <color rgb="FF0033CC"/>
      </top>
      <bottom style="thin">
        <color rgb="FF0033CC"/>
      </bottom>
      <diagonal/>
    </border>
    <border>
      <left style="thin">
        <color rgb="FF0033CC"/>
      </left>
      <right/>
      <top style="thin">
        <color rgb="FF0033CC"/>
      </top>
      <bottom/>
      <diagonal/>
    </border>
    <border>
      <left/>
      <right/>
      <top style="thin">
        <color rgb="FF0033CC"/>
      </top>
      <bottom/>
      <diagonal/>
    </border>
    <border>
      <left/>
      <right style="thin">
        <color rgb="FF0033CC"/>
      </right>
      <top style="thin">
        <color rgb="FF0033CC"/>
      </top>
      <bottom/>
      <diagonal/>
    </border>
    <border>
      <left style="thin">
        <color rgb="FF0033CC"/>
      </left>
      <right/>
      <top/>
      <bottom/>
      <diagonal/>
    </border>
    <border>
      <left/>
      <right style="thin">
        <color rgb="FF0033CC"/>
      </right>
      <top/>
      <bottom/>
      <diagonal/>
    </border>
    <border>
      <left/>
      <right/>
      <top/>
      <bottom style="thin">
        <color rgb="FF0033CC"/>
      </bottom>
      <diagonal/>
    </border>
    <border>
      <left/>
      <right style="thin">
        <color rgb="FF0033CC"/>
      </right>
      <top/>
      <bottom style="thin">
        <color rgb="FF0033CC"/>
      </bottom>
      <diagonal/>
    </border>
    <border>
      <left style="thin">
        <color rgb="FF0033CC"/>
      </left>
      <right/>
      <top/>
      <bottom style="thin">
        <color rgb="FF0033CC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hair">
        <color theme="4" tint="-0.2499465926084170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hair">
        <color theme="4" tint="-0.24994659260841701"/>
      </left>
      <right style="hair">
        <color theme="4" tint="-0.24994659260841701"/>
      </right>
      <top style="thin">
        <color theme="4" tint="0.39997558519241921"/>
      </top>
      <bottom/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6" tint="-0.499984740745262"/>
      </left>
      <right style="thin">
        <color theme="6" tint="-0.499984740745262"/>
      </right>
      <top/>
      <bottom/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/>
      <diagonal/>
    </border>
    <border>
      <left style="thin">
        <color theme="6" tint="-0.499984740745262"/>
      </left>
      <right/>
      <top style="thin">
        <color theme="6" tint="-0.499984740745262"/>
      </top>
      <bottom style="thin">
        <color theme="6" tint="-0.499984740745262"/>
      </bottom>
      <diagonal/>
    </border>
    <border>
      <left/>
      <right/>
      <top style="thin">
        <color theme="6" tint="-0.499984740745262"/>
      </top>
      <bottom style="thin">
        <color theme="6" tint="-0.499984740745262"/>
      </bottom>
      <diagonal/>
    </border>
    <border>
      <left/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/>
      <right/>
      <top/>
      <bottom style="thin">
        <color theme="6" tint="-0.499984740745262"/>
      </bottom>
      <diagonal/>
    </border>
    <border>
      <left/>
      <right style="thin">
        <color theme="6" tint="-0.499984740745262"/>
      </right>
      <top/>
      <bottom style="thin">
        <color theme="6" tint="-0.499984740745262"/>
      </bottom>
      <diagonal/>
    </border>
    <border>
      <left style="thin">
        <color theme="6" tint="-0.499984740745262"/>
      </left>
      <right/>
      <top/>
      <bottom/>
      <diagonal/>
    </border>
    <border>
      <left style="thin">
        <color rgb="FF0033CC"/>
      </left>
      <right/>
      <top style="thin">
        <color rgb="FF0033CC"/>
      </top>
      <bottom style="thin">
        <color rgb="FF0033CC"/>
      </bottom>
      <diagonal/>
    </border>
    <border>
      <left/>
      <right/>
      <top style="thin">
        <color rgb="FF0033CC"/>
      </top>
      <bottom style="thin">
        <color rgb="FF0033CC"/>
      </bottom>
      <diagonal/>
    </border>
    <border>
      <left/>
      <right style="thin">
        <color rgb="FF0033CC"/>
      </right>
      <top style="thin">
        <color rgb="FF0033CC"/>
      </top>
      <bottom style="thin">
        <color rgb="FF0033CC"/>
      </bottom>
      <diagonal/>
    </border>
    <border>
      <left style="hair">
        <color rgb="FF0033CC"/>
      </left>
      <right style="hair">
        <color rgb="FF0033CC"/>
      </right>
      <top style="thin">
        <color rgb="FF0033CC"/>
      </top>
      <bottom/>
      <diagonal/>
    </border>
    <border>
      <left style="hair">
        <color rgb="FF0033CC"/>
      </left>
      <right style="hair">
        <color rgb="FF0033CC"/>
      </right>
      <top/>
      <bottom/>
      <diagonal/>
    </border>
    <border>
      <left style="hair">
        <color rgb="FF0033CC"/>
      </left>
      <right style="hair">
        <color rgb="FF0033CC"/>
      </right>
      <top/>
      <bottom style="thin">
        <color rgb="FF0033CC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94">
    <xf numFmtId="0" fontId="0" fillId="0" borderId="0" xfId="0"/>
    <xf numFmtId="0" fontId="0" fillId="3" borderId="0" xfId="0" applyFill="1"/>
    <xf numFmtId="0" fontId="0" fillId="4" borderId="0" xfId="0" applyFill="1"/>
    <xf numFmtId="0" fontId="0" fillId="6" borderId="0" xfId="0" applyFill="1"/>
    <xf numFmtId="0" fontId="0" fillId="6" borderId="2" xfId="0" applyFill="1" applyBorder="1"/>
    <xf numFmtId="0" fontId="0" fillId="6" borderId="4" xfId="0" applyFill="1" applyBorder="1"/>
    <xf numFmtId="0" fontId="0" fillId="6" borderId="5" xfId="0" applyFill="1" applyBorder="1"/>
    <xf numFmtId="0" fontId="0" fillId="6" borderId="0" xfId="0" applyFill="1" applyBorder="1"/>
    <xf numFmtId="0" fontId="0" fillId="6" borderId="6" xfId="0" applyFill="1" applyBorder="1"/>
    <xf numFmtId="0" fontId="0" fillId="6" borderId="0" xfId="0" applyFill="1" applyBorder="1" applyAlignment="1">
      <alignment horizontal="right"/>
    </xf>
    <xf numFmtId="0" fontId="0" fillId="6" borderId="7" xfId="0" applyFill="1" applyBorder="1"/>
    <xf numFmtId="0" fontId="0" fillId="6" borderId="8" xfId="0" applyFill="1" applyBorder="1"/>
    <xf numFmtId="0" fontId="0" fillId="6" borderId="9" xfId="0" applyFill="1" applyBorder="1"/>
    <xf numFmtId="0" fontId="0" fillId="7" borderId="1" xfId="0" applyFill="1" applyBorder="1"/>
    <xf numFmtId="0" fontId="0" fillId="4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2" fillId="8" borderId="11" xfId="0" applyFont="1" applyFill="1" applyBorder="1" applyAlignment="1">
      <alignment horizontal="center"/>
    </xf>
    <xf numFmtId="0" fontId="2" fillId="8" borderId="12" xfId="0" applyFont="1" applyFill="1" applyBorder="1" applyAlignment="1">
      <alignment horizontal="center"/>
    </xf>
    <xf numFmtId="0" fontId="2" fillId="8" borderId="13" xfId="0" applyFont="1" applyFill="1" applyBorder="1" applyAlignment="1">
      <alignment horizontal="center"/>
    </xf>
    <xf numFmtId="0" fontId="0" fillId="9" borderId="11" xfId="0" applyFont="1" applyFill="1" applyBorder="1"/>
    <xf numFmtId="0" fontId="0" fillId="9" borderId="12" xfId="0" applyFont="1" applyFill="1" applyBorder="1"/>
    <xf numFmtId="0" fontId="0" fillId="9" borderId="14" xfId="0" applyFont="1" applyFill="1" applyBorder="1"/>
    <xf numFmtId="0" fontId="0" fillId="0" borderId="11" xfId="0" applyFont="1" applyBorder="1"/>
    <xf numFmtId="0" fontId="0" fillId="0" borderId="12" xfId="0" applyFont="1" applyBorder="1"/>
    <xf numFmtId="0" fontId="0" fillId="0" borderId="14" xfId="0" applyFont="1" applyBorder="1"/>
    <xf numFmtId="0" fontId="0" fillId="4" borderId="15" xfId="0" applyFill="1" applyBorder="1" applyAlignment="1">
      <alignment horizontal="center"/>
    </xf>
    <xf numFmtId="0" fontId="0" fillId="12" borderId="15" xfId="0" applyFill="1" applyBorder="1" applyAlignment="1">
      <alignment horizontal="center"/>
    </xf>
    <xf numFmtId="14" fontId="0" fillId="0" borderId="0" xfId="0" applyNumberFormat="1"/>
    <xf numFmtId="0" fontId="0" fillId="4" borderId="16" xfId="0" applyFill="1" applyBorder="1" applyAlignment="1">
      <alignment horizontal="center"/>
    </xf>
    <xf numFmtId="0" fontId="0" fillId="13" borderId="15" xfId="0" applyFill="1" applyBorder="1" applyAlignment="1">
      <alignment horizontal="center"/>
    </xf>
    <xf numFmtId="0" fontId="0" fillId="4" borderId="17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0" fillId="15" borderId="15" xfId="0" applyFill="1" applyBorder="1" applyAlignment="1">
      <alignment horizontal="center"/>
    </xf>
    <xf numFmtId="0" fontId="0" fillId="14" borderId="15" xfId="0" applyFill="1" applyBorder="1" applyAlignment="1">
      <alignment horizontal="center"/>
    </xf>
    <xf numFmtId="44" fontId="0" fillId="0" borderId="0" xfId="1" applyFont="1"/>
    <xf numFmtId="0" fontId="0" fillId="15" borderId="15" xfId="0" applyFill="1" applyBorder="1"/>
    <xf numFmtId="0" fontId="0" fillId="15" borderId="16" xfId="0" applyFill="1" applyBorder="1" applyAlignment="1">
      <alignment horizontal="center"/>
    </xf>
    <xf numFmtId="0" fontId="0" fillId="2" borderId="0" xfId="0" applyFill="1"/>
    <xf numFmtId="0" fontId="0" fillId="16" borderId="1" xfId="0" applyFill="1" applyBorder="1"/>
    <xf numFmtId="0" fontId="3" fillId="2" borderId="1" xfId="0" applyFont="1" applyFill="1" applyBorder="1" applyAlignment="1">
      <alignment horizontal="center"/>
    </xf>
    <xf numFmtId="14" fontId="0" fillId="7" borderId="1" xfId="0" applyNumberFormat="1" applyFill="1" applyBorder="1"/>
    <xf numFmtId="44" fontId="0" fillId="7" borderId="1" xfId="1" applyFont="1" applyFill="1" applyBorder="1"/>
    <xf numFmtId="16" fontId="0" fillId="7" borderId="1" xfId="0" applyNumberFormat="1" applyFill="1" applyBorder="1"/>
    <xf numFmtId="0" fontId="0" fillId="6" borderId="0" xfId="0" applyFill="1" applyBorder="1" applyAlignment="1">
      <alignment horizontal="left"/>
    </xf>
    <xf numFmtId="0" fontId="0" fillId="2" borderId="1" xfId="0" applyFill="1" applyBorder="1" applyAlignment="1">
      <alignment horizontal="center" vertical="top"/>
    </xf>
    <xf numFmtId="164" fontId="0" fillId="7" borderId="1" xfId="2" applyNumberFormat="1" applyFont="1" applyFill="1" applyBorder="1"/>
    <xf numFmtId="14" fontId="0" fillId="6" borderId="0" xfId="0" applyNumberFormat="1" applyFill="1" applyBorder="1" applyAlignment="1">
      <alignment horizontal="right"/>
    </xf>
    <xf numFmtId="0" fontId="0" fillId="17" borderId="0" xfId="0" applyFill="1"/>
    <xf numFmtId="0" fontId="0" fillId="17" borderId="0" xfId="0" applyFill="1" applyAlignment="1">
      <alignment horizontal="left"/>
    </xf>
    <xf numFmtId="0" fontId="0" fillId="7" borderId="5" xfId="0" applyFill="1" applyBorder="1" applyAlignment="1">
      <alignment horizontal="left" vertical="top"/>
    </xf>
    <xf numFmtId="0" fontId="0" fillId="7" borderId="9" xfId="0" applyFill="1" applyBorder="1" applyAlignment="1">
      <alignment horizontal="left" vertical="top"/>
    </xf>
    <xf numFmtId="0" fontId="0" fillId="0" borderId="10" xfId="0" applyFont="1" applyBorder="1" applyAlignment="1">
      <alignment horizontal="center"/>
    </xf>
    <xf numFmtId="0" fontId="0" fillId="0" borderId="0" xfId="0" applyAlignment="1">
      <alignment horizontal="left"/>
    </xf>
    <xf numFmtId="0" fontId="0" fillId="18" borderId="0" xfId="0" applyFill="1"/>
    <xf numFmtId="0" fontId="0" fillId="18" borderId="0" xfId="0" applyFill="1" applyAlignment="1"/>
    <xf numFmtId="7" fontId="0" fillId="0" borderId="0" xfId="0" applyNumberFormat="1"/>
    <xf numFmtId="0" fontId="0" fillId="7" borderId="27" xfId="0" applyFill="1" applyBorder="1" applyAlignment="1">
      <alignment vertical="top"/>
    </xf>
    <xf numFmtId="14" fontId="0" fillId="7" borderId="27" xfId="0" applyNumberFormat="1" applyFill="1" applyBorder="1" applyAlignment="1">
      <alignment vertical="top"/>
    </xf>
    <xf numFmtId="0" fontId="0" fillId="7" borderId="6" xfId="0" applyFill="1" applyBorder="1" applyAlignment="1">
      <alignment vertical="top"/>
    </xf>
    <xf numFmtId="0" fontId="0" fillId="7" borderId="28" xfId="0" applyFill="1" applyBorder="1" applyAlignment="1">
      <alignment vertical="top"/>
    </xf>
    <xf numFmtId="14" fontId="0" fillId="7" borderId="28" xfId="0" applyNumberFormat="1" applyFill="1" applyBorder="1" applyAlignment="1">
      <alignment vertical="top"/>
    </xf>
    <xf numFmtId="0" fontId="0" fillId="7" borderId="29" xfId="0" applyFill="1" applyBorder="1" applyAlignment="1">
      <alignment vertical="top"/>
    </xf>
    <xf numFmtId="0" fontId="0" fillId="7" borderId="8" xfId="0" applyFill="1" applyBorder="1" applyAlignment="1">
      <alignment vertical="top"/>
    </xf>
    <xf numFmtId="14" fontId="0" fillId="7" borderId="6" xfId="0" applyNumberFormat="1" applyFill="1" applyBorder="1" applyAlignment="1">
      <alignment vertical="top"/>
    </xf>
    <xf numFmtId="0" fontId="6" fillId="6" borderId="3" xfId="0" applyFont="1" applyFill="1" applyBorder="1" applyAlignment="1">
      <alignment horizontal="center"/>
    </xf>
    <xf numFmtId="0" fontId="8" fillId="6" borderId="0" xfId="0" applyFont="1" applyFill="1" applyBorder="1" applyAlignment="1">
      <alignment horizontal="center"/>
    </xf>
    <xf numFmtId="0" fontId="7" fillId="2" borderId="0" xfId="0" applyFont="1" applyFill="1" applyAlignment="1">
      <alignment horizontal="center"/>
    </xf>
    <xf numFmtId="0" fontId="0" fillId="7" borderId="24" xfId="0" applyFill="1" applyBorder="1" applyAlignment="1">
      <alignment horizontal="left"/>
    </xf>
    <xf numFmtId="0" fontId="0" fillId="7" borderId="25" xfId="0" applyFill="1" applyBorder="1" applyAlignment="1">
      <alignment horizontal="left"/>
    </xf>
    <xf numFmtId="0" fontId="0" fillId="7" borderId="26" xfId="0" applyFill="1" applyBorder="1" applyAlignment="1">
      <alignment horizontal="left"/>
    </xf>
    <xf numFmtId="0" fontId="0" fillId="7" borderId="2" xfId="0" applyFill="1" applyBorder="1" applyAlignment="1">
      <alignment horizontal="left" vertical="top"/>
    </xf>
    <xf numFmtId="0" fontId="0" fillId="7" borderId="3" xfId="0" applyFill="1" applyBorder="1" applyAlignment="1">
      <alignment horizontal="left" vertical="top"/>
    </xf>
    <xf numFmtId="0" fontId="0" fillId="7" borderId="4" xfId="0" applyFill="1" applyBorder="1" applyAlignment="1">
      <alignment horizontal="left" vertical="top"/>
    </xf>
    <xf numFmtId="0" fontId="0" fillId="7" borderId="5" xfId="0" applyFill="1" applyBorder="1" applyAlignment="1">
      <alignment horizontal="left" vertical="top"/>
    </xf>
    <xf numFmtId="0" fontId="0" fillId="7" borderId="0" xfId="0" applyFill="1" applyBorder="1" applyAlignment="1">
      <alignment horizontal="left" vertical="top"/>
    </xf>
    <xf numFmtId="0" fontId="0" fillId="7" borderId="6" xfId="0" applyFill="1" applyBorder="1" applyAlignment="1">
      <alignment horizontal="left" vertical="top"/>
    </xf>
    <xf numFmtId="0" fontId="0" fillId="7" borderId="9" xfId="0" applyFill="1" applyBorder="1" applyAlignment="1">
      <alignment horizontal="left" vertical="top"/>
    </xf>
    <xf numFmtId="0" fontId="0" fillId="7" borderId="7" xfId="0" applyFill="1" applyBorder="1" applyAlignment="1">
      <alignment horizontal="left" vertical="top"/>
    </xf>
    <xf numFmtId="0" fontId="0" fillId="7" borderId="8" xfId="0" applyFill="1" applyBorder="1" applyAlignment="1">
      <alignment horizontal="left" vertical="top"/>
    </xf>
    <xf numFmtId="0" fontId="3" fillId="2" borderId="2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4" fillId="10" borderId="0" xfId="0" applyFont="1" applyFill="1" applyAlignment="1">
      <alignment horizontal="center"/>
    </xf>
    <xf numFmtId="0" fontId="5" fillId="12" borderId="15" xfId="0" applyFont="1" applyFill="1" applyBorder="1" applyAlignment="1">
      <alignment horizontal="center"/>
    </xf>
    <xf numFmtId="0" fontId="5" fillId="13" borderId="18" xfId="0" applyFont="1" applyFill="1" applyBorder="1" applyAlignment="1">
      <alignment horizontal="center"/>
    </xf>
    <xf numFmtId="0" fontId="5" fillId="13" borderId="19" xfId="0" applyFont="1" applyFill="1" applyBorder="1" applyAlignment="1">
      <alignment horizontal="center"/>
    </xf>
    <xf numFmtId="0" fontId="5" fillId="13" borderId="20" xfId="0" applyFont="1" applyFill="1" applyBorder="1" applyAlignment="1">
      <alignment horizontal="center"/>
    </xf>
    <xf numFmtId="0" fontId="3" fillId="11" borderId="21" xfId="0" applyFont="1" applyFill="1" applyBorder="1" applyAlignment="1">
      <alignment horizontal="center"/>
    </xf>
    <xf numFmtId="0" fontId="3" fillId="11" borderId="22" xfId="0" applyFont="1" applyFill="1" applyBorder="1" applyAlignment="1">
      <alignment horizontal="center"/>
    </xf>
    <xf numFmtId="0" fontId="0" fillId="11" borderId="23" xfId="0" applyFill="1" applyBorder="1" applyAlignment="1">
      <alignment horizontal="center"/>
    </xf>
    <xf numFmtId="0" fontId="0" fillId="11" borderId="0" xfId="0" applyFill="1" applyBorder="1" applyAlignment="1">
      <alignment horizontal="center"/>
    </xf>
    <xf numFmtId="0" fontId="3" fillId="11" borderId="23" xfId="0" applyFont="1" applyFill="1" applyBorder="1" applyAlignment="1">
      <alignment horizontal="center"/>
    </xf>
    <xf numFmtId="0" fontId="3" fillId="11" borderId="0" xfId="0" applyFont="1" applyFill="1" applyBorder="1" applyAlignment="1">
      <alignment horizontal="center"/>
    </xf>
    <xf numFmtId="0" fontId="0" fillId="14" borderId="15" xfId="0" applyFill="1" applyBorder="1" applyAlignment="1">
      <alignment horizontal="center"/>
    </xf>
  </cellXfs>
  <cellStyles count="3">
    <cellStyle name="Comma" xfId="2" builtinId="3"/>
    <cellStyle name="Currency" xfId="1" builtinId="4"/>
    <cellStyle name="Normal" xfId="0" builtinId="0"/>
  </cellStyles>
  <dxfs count="12">
    <dxf>
      <fill>
        <gradientFill degree="90">
          <stop position="0">
            <color rgb="FFFFFF99"/>
          </stop>
          <stop position="1">
            <color rgb="FFFFFF99"/>
          </stop>
        </gradientFill>
      </fill>
    </dxf>
    <dxf>
      <fill>
        <gradientFill degree="90">
          <stop position="0">
            <color rgb="FFFFFF99"/>
          </stop>
          <stop position="1">
            <color rgb="FFFFFF99"/>
          </stop>
        </gradientFill>
      </fill>
    </dxf>
    <dxf>
      <fill>
        <gradientFill degree="90">
          <stop position="0">
            <color rgb="FFFFFF99"/>
          </stop>
          <stop position="1">
            <color rgb="FFFFFF99"/>
          </stop>
        </gradientFill>
      </fill>
    </dxf>
    <dxf>
      <fill>
        <patternFill>
          <bgColor rgb="FFFFFF99"/>
        </patternFill>
      </fill>
    </dxf>
    <dxf>
      <fill>
        <patternFill>
          <bgColor rgb="FFE7EEF5"/>
        </patternFill>
      </fill>
    </dxf>
    <dxf>
      <fill>
        <patternFill>
          <bgColor rgb="FFE7EEF5"/>
        </patternFill>
      </fill>
    </dxf>
    <dxf>
      <fill>
        <patternFill>
          <bgColor rgb="FFE7EEF5"/>
        </patternFill>
      </fill>
    </dxf>
    <dxf>
      <fill>
        <patternFill>
          <bgColor rgb="FFE7EEF5"/>
        </patternFill>
      </fill>
    </dxf>
    <dxf>
      <fill>
        <patternFill>
          <bgColor rgb="FFE7EEF5"/>
        </patternFill>
      </fill>
    </dxf>
    <dxf>
      <fill>
        <patternFill>
          <bgColor rgb="FFE7EEF5"/>
        </patternFill>
      </fill>
    </dxf>
    <dxf>
      <fill>
        <gradientFill>
          <stop position="0">
            <color theme="4" tint="0.59999389629810485"/>
          </stop>
          <stop position="1">
            <color theme="4" tint="0.80001220740379042"/>
          </stop>
        </gradientFill>
      </fill>
      <border>
        <right/>
      </border>
    </dxf>
    <dxf>
      <fill>
        <gradientFill degree="90">
          <stop position="0">
            <color theme="0" tint="-0.1490218817712943"/>
          </stop>
          <stop position="1">
            <color theme="4" tint="0.80001220740379042"/>
          </stop>
        </gradientFill>
      </fill>
      <border>
        <left style="thin">
          <color rgb="FF0033CC"/>
        </left>
        <right style="thin">
          <color rgb="FF0033CC"/>
        </right>
        <bottom/>
        <vertical/>
        <horizontal/>
      </border>
    </dxf>
  </dxfs>
  <tableStyles count="0" defaultTableStyle="TableStyleMedium2" defaultPivotStyle="PivotStyleLight16"/>
  <colors>
    <mruColors>
      <color rgb="FFFFFF99"/>
      <color rgb="FF0033CC"/>
      <color rgb="FFE7EEF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'Vehicle Expense Tracker'!$O$77</c:f>
          <c:strCache>
            <c:ptCount val="1"/>
            <c:pt idx="0">
              <c:v>Repair &amp; Expenses</c:v>
            </c:pt>
          </c:strCache>
        </c:strRef>
      </c:tx>
      <c:overlay val="0"/>
      <c:spPr>
        <a:noFill/>
      </c:spPr>
    </c:title>
    <c:autoTitleDeleted val="0"/>
    <c:plotArea>
      <c:layout>
        <c:manualLayout>
          <c:layoutTarget val="inner"/>
          <c:xMode val="edge"/>
          <c:yMode val="edge"/>
          <c:x val="0.21403215223097113"/>
          <c:y val="0.21082895888013997"/>
          <c:w val="0.48304702537182853"/>
          <c:h val="0.78917104111986003"/>
        </c:manualLayout>
      </c:layout>
      <c:pieChart>
        <c:varyColors val="1"/>
        <c:ser>
          <c:idx val="0"/>
          <c:order val="0"/>
          <c:spPr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  <c:explosion val="25"/>
          <c:dLbls>
            <c:dLbl>
              <c:idx val="0"/>
              <c:layout>
                <c:manualLayout>
                  <c:x val="0.10387934830897348"/>
                  <c:y val="4.1835207280312668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CB8-4FBD-A4A0-1BE85CCA29EF}"/>
                </c:ext>
              </c:extLst>
            </c:dLbl>
            <c:dLbl>
              <c:idx val="1"/>
              <c:layout>
                <c:manualLayout>
                  <c:x val="2.1035034893583524E-2"/>
                  <c:y val="6.1942257217847772E-3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CB8-4FBD-A4A0-1BE85CCA29EF}"/>
                </c:ext>
              </c:extLst>
            </c:dLbl>
            <c:dLbl>
              <c:idx val="2"/>
              <c:layout>
                <c:manualLayout>
                  <c:x val="0.4259815061578841"/>
                  <c:y val="-3.2400142121972744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CB8-4FBD-A4A0-1BE85CCA29EF}"/>
                </c:ext>
              </c:extLst>
            </c:dLbl>
            <c:dLbl>
              <c:idx val="3"/>
              <c:layout>
                <c:manualLayout>
                  <c:x val="-6.8306315043359283E-3"/>
                  <c:y val="-4.4910543387316759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CB8-4FBD-A4A0-1BE85CCA29EF}"/>
                </c:ext>
              </c:extLst>
            </c:dLbl>
            <c:dLbl>
              <c:idx val="4"/>
              <c:layout>
                <c:manualLayout>
                  <c:x val="-0.19305051318458352"/>
                  <c:y val="4.8036309871746383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CB8-4FBD-A4A0-1BE85CCA29E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/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'Vehicle Expense Tracker'!$O$78:$O$82</c:f>
              <c:strCache>
                <c:ptCount val="5"/>
                <c:pt idx="0">
                  <c:v>Repairs</c:v>
                </c:pt>
                <c:pt idx="1">
                  <c:v>Cleaning</c:v>
                </c:pt>
                <c:pt idx="2">
                  <c:v>Tolls</c:v>
                </c:pt>
                <c:pt idx="3">
                  <c:v>Oil</c:v>
                </c:pt>
                <c:pt idx="4">
                  <c:v>Tires</c:v>
                </c:pt>
              </c:strCache>
            </c:strRef>
          </c:cat>
          <c:val>
            <c:numRef>
              <c:f>'Vehicle Expense Tracker'!$P$78:$P$82</c:f>
              <c:numCache>
                <c:formatCode>General</c:formatCode>
                <c:ptCount val="5"/>
                <c:pt idx="0">
                  <c:v>85</c:v>
                </c:pt>
                <c:pt idx="1">
                  <c:v>50</c:v>
                </c:pt>
                <c:pt idx="2">
                  <c:v>85</c:v>
                </c:pt>
                <c:pt idx="3">
                  <c:v>190</c:v>
                </c:pt>
                <c:pt idx="4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CB8-4FBD-A4A0-1BE85CCA29EF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'Vehicle Expense Tracker'!$R$77</c:f>
          <c:strCache>
            <c:ptCount val="1"/>
            <c:pt idx="0">
              <c:v>Fuel Costs</c:v>
            </c:pt>
          </c:strCache>
        </c:strRef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57150"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cat>
            <c:strRef>
              <c:f>'Vehicle Expense Tracker'!$R$78:$R$89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'Vehicle Expense Tracker'!$S$78:$S$89</c:f>
              <c:numCache>
                <c:formatCode>_("$"* #,##0.00_);_("$"* \(#,##0.00\);_("$"* "-"??_);_(@_)</c:formatCode>
                <c:ptCount val="12"/>
                <c:pt idx="0">
                  <c:v>66</c:v>
                </c:pt>
                <c:pt idx="1">
                  <c:v>89</c:v>
                </c:pt>
                <c:pt idx="2">
                  <c:v>0</c:v>
                </c:pt>
                <c:pt idx="3">
                  <c:v>125</c:v>
                </c:pt>
                <c:pt idx="4">
                  <c:v>124</c:v>
                </c:pt>
                <c:pt idx="5">
                  <c:v>122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59-4DEB-A749-4CBA19B967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25099136"/>
        <c:axId val="225212672"/>
      </c:lineChart>
      <c:catAx>
        <c:axId val="2250991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25212672"/>
        <c:crosses val="autoZero"/>
        <c:auto val="1"/>
        <c:lblAlgn val="ctr"/>
        <c:lblOffset val="100"/>
        <c:noMultiLvlLbl val="0"/>
      </c:catAx>
      <c:valAx>
        <c:axId val="225212672"/>
        <c:scaling>
          <c:orientation val="minMax"/>
        </c:scaling>
        <c:delete val="0"/>
        <c:axPos val="l"/>
        <c:numFmt formatCode="_(&quot;$&quot;* #,##0.00_);_(&quot;$&quot;* \(#,##0.00\);_(&quot;$&quot;* &quot;-&quot;??_);_(@_)" sourceLinked="1"/>
        <c:majorTickMark val="out"/>
        <c:minorTickMark val="none"/>
        <c:tickLblPos val="nextTo"/>
        <c:crossAx val="22509913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chart" Target="../charts/chart1.xm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3.png"/><Relationship Id="rId2" Type="http://schemas.openxmlformats.org/officeDocument/2006/relationships/image" Target="../media/image2.png"/><Relationship Id="rId16" Type="http://schemas.openxmlformats.org/officeDocument/2006/relationships/hyperlink" Target="https://bit.ly/100WKBK-FreeWkbk" TargetMode="External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file:///C:\Users\neilr\Dropbox\Excel4Freelancers\FreeTrainingVideos\Vehicle%20Expense%20Tracker\Car3.png" TargetMode="External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583350</xdr:colOff>
      <xdr:row>0</xdr:row>
      <xdr:rowOff>0</xdr:rowOff>
    </xdr:from>
    <xdr:to>
      <xdr:col>4</xdr:col>
      <xdr:colOff>21374</xdr:colOff>
      <xdr:row>1</xdr:row>
      <xdr:rowOff>123825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1175" y="0"/>
          <a:ext cx="504825" cy="504825"/>
        </a:xfrm>
        <a:prstGeom prst="rect">
          <a:avLst/>
        </a:prstGeom>
      </xdr:spPr>
    </xdr:pic>
    <xdr:clientData/>
  </xdr:twoCellAnchor>
  <xdr:twoCellAnchor editAs="oneCell">
    <xdr:from>
      <xdr:col>3</xdr:col>
      <xdr:colOff>1066799</xdr:colOff>
      <xdr:row>1</xdr:row>
      <xdr:rowOff>38099</xdr:rowOff>
    </xdr:from>
    <xdr:to>
      <xdr:col>10</xdr:col>
      <xdr:colOff>11810</xdr:colOff>
      <xdr:row>1</xdr:row>
      <xdr:rowOff>718547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GrpSpPr/>
      </xdr:nvGrpSpPr>
      <xdr:grpSpPr>
        <a:xfrm>
          <a:off x="3105149" y="419099"/>
          <a:ext cx="5428361" cy="680448"/>
          <a:chOff x="2714624" y="523874"/>
          <a:chExt cx="5145786" cy="680448"/>
        </a:xfrm>
      </xdr:grpSpPr>
      <xdr:grpSp>
        <xdr:nvGrpSpPr>
          <xdr:cNvPr id="39" name="Group 38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GrpSpPr/>
        </xdr:nvGrpSpPr>
        <xdr:grpSpPr>
          <a:xfrm>
            <a:off x="5286374" y="523874"/>
            <a:ext cx="859536" cy="676656"/>
            <a:chOff x="5476874" y="314324"/>
            <a:chExt cx="859536" cy="676656"/>
          </a:xfrm>
        </xdr:grpSpPr>
        <xdr:sp macro="[0]!Tab_Reminders" textlink="">
          <xdr:nvSpPr>
            <xdr:cNvPr id="67" name="Rectangle 66">
              <a:extLst>
                <a:ext uri="{FF2B5EF4-FFF2-40B4-BE49-F238E27FC236}">
                  <a16:creationId xmlns:a16="http://schemas.microsoft.com/office/drawing/2014/main" id="{00000000-0008-0000-0000-000043000000}"/>
                </a:ext>
              </a:extLst>
            </xdr:cNvPr>
            <xdr:cNvSpPr/>
          </xdr:nvSpPr>
          <xdr:spPr>
            <a:xfrm>
              <a:off x="5476874" y="314324"/>
              <a:ext cx="859536" cy="676656"/>
            </a:xfrm>
            <a:prstGeom prst="rect">
              <a:avLst/>
            </a:prstGeom>
            <a:ln>
              <a:solidFill>
                <a:srgbClr val="0033CC"/>
              </a:solidFill>
            </a:ln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pic macro="[0]!Tab_Reminders">
          <xdr:nvPicPr>
            <xdr:cNvPr id="11" name="Picture 10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632322" y="378332"/>
              <a:ext cx="548640" cy="548640"/>
            </a:xfrm>
            <a:prstGeom prst="rect">
              <a:avLst/>
            </a:prstGeom>
          </xdr:spPr>
        </xdr:pic>
      </xdr:grpSp>
      <xdr:grpSp>
        <xdr:nvGrpSpPr>
          <xdr:cNvPr id="35" name="Group 34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GrpSpPr/>
        </xdr:nvGrpSpPr>
        <xdr:grpSpPr>
          <a:xfrm>
            <a:off x="2714624" y="523874"/>
            <a:ext cx="859536" cy="676656"/>
            <a:chOff x="2733674" y="390524"/>
            <a:chExt cx="859536" cy="676656"/>
          </a:xfrm>
        </xdr:grpSpPr>
        <xdr:sp macro="[0]!Tab_Vehicle" textlink="">
          <xdr:nvSpPr>
            <xdr:cNvPr id="34" name="Rectangle 33">
              <a:extLst>
                <a:ext uri="{FF2B5EF4-FFF2-40B4-BE49-F238E27FC236}">
                  <a16:creationId xmlns:a16="http://schemas.microsoft.com/office/drawing/2014/main" id="{00000000-0008-0000-0000-000022000000}"/>
                </a:ext>
              </a:extLst>
            </xdr:cNvPr>
            <xdr:cNvSpPr/>
          </xdr:nvSpPr>
          <xdr:spPr>
            <a:xfrm>
              <a:off x="2733674" y="390524"/>
              <a:ext cx="859536" cy="676656"/>
            </a:xfrm>
            <a:prstGeom prst="rect">
              <a:avLst/>
            </a:prstGeom>
            <a:ln>
              <a:solidFill>
                <a:srgbClr val="0033CC"/>
              </a:solidFill>
            </a:ln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pic macro="[0]!Tab_Vehicle">
          <xdr:nvPicPr>
            <xdr:cNvPr id="12" name="Picture 11">
              <a:extLst>
                <a:ext uri="{FF2B5EF4-FFF2-40B4-BE49-F238E27FC236}">
                  <a16:creationId xmlns:a16="http://schemas.microsoft.com/office/drawing/2014/main" id="{00000000-0008-0000-0000-00000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889122" y="454532"/>
              <a:ext cx="548640" cy="548640"/>
            </a:xfrm>
            <a:prstGeom prst="rect">
              <a:avLst/>
            </a:prstGeom>
          </xdr:spPr>
        </xdr:pic>
      </xdr:grpSp>
      <xdr:grpSp>
        <xdr:nvGrpSpPr>
          <xdr:cNvPr id="38" name="Group 37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GrpSpPr/>
        </xdr:nvGrpSpPr>
        <xdr:grpSpPr>
          <a:xfrm>
            <a:off x="4429124" y="523874"/>
            <a:ext cx="859536" cy="676656"/>
            <a:chOff x="4629149" y="400049"/>
            <a:chExt cx="859536" cy="676656"/>
          </a:xfrm>
        </xdr:grpSpPr>
        <xdr:sp macro="[0]!Tab_Fuel" textlink="">
          <xdr:nvSpPr>
            <xdr:cNvPr id="68" name="Rectangle 67">
              <a:extLst>
                <a:ext uri="{FF2B5EF4-FFF2-40B4-BE49-F238E27FC236}">
                  <a16:creationId xmlns:a16="http://schemas.microsoft.com/office/drawing/2014/main" id="{00000000-0008-0000-0000-000044000000}"/>
                </a:ext>
              </a:extLst>
            </xdr:cNvPr>
            <xdr:cNvSpPr/>
          </xdr:nvSpPr>
          <xdr:spPr>
            <a:xfrm>
              <a:off x="4629149" y="400049"/>
              <a:ext cx="859536" cy="676656"/>
            </a:xfrm>
            <a:prstGeom prst="rect">
              <a:avLst/>
            </a:prstGeom>
            <a:ln>
              <a:solidFill>
                <a:srgbClr val="0033CC"/>
              </a:solidFill>
            </a:ln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pic macro="[0]!Tab_Fuel">
          <xdr:nvPicPr>
            <xdr:cNvPr id="18" name="Picture 17">
              <a:extLst>
                <a:ext uri="{FF2B5EF4-FFF2-40B4-BE49-F238E27FC236}">
                  <a16:creationId xmlns:a16="http://schemas.microsoft.com/office/drawing/2014/main" id="{00000000-0008-0000-0000-000012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784597" y="464057"/>
              <a:ext cx="548640" cy="548640"/>
            </a:xfrm>
            <a:prstGeom prst="rect">
              <a:avLst/>
            </a:prstGeom>
          </xdr:spPr>
        </xdr:pic>
      </xdr:grpSp>
      <xdr:grpSp>
        <xdr:nvGrpSpPr>
          <xdr:cNvPr id="36" name="Group 3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GrpSpPr/>
        </xdr:nvGrpSpPr>
        <xdr:grpSpPr>
          <a:xfrm>
            <a:off x="3571874" y="527666"/>
            <a:ext cx="859536" cy="676656"/>
            <a:chOff x="3762374" y="375266"/>
            <a:chExt cx="859536" cy="676656"/>
          </a:xfrm>
        </xdr:grpSpPr>
        <xdr:sp macro="[0]!Tab_Repairs" textlink="">
          <xdr:nvSpPr>
            <xdr:cNvPr id="66" name="Rectangle 65">
              <a:extLst>
                <a:ext uri="{FF2B5EF4-FFF2-40B4-BE49-F238E27FC236}">
                  <a16:creationId xmlns:a16="http://schemas.microsoft.com/office/drawing/2014/main" id="{00000000-0008-0000-0000-000042000000}"/>
                </a:ext>
              </a:extLst>
            </xdr:cNvPr>
            <xdr:cNvSpPr/>
          </xdr:nvSpPr>
          <xdr:spPr>
            <a:xfrm>
              <a:off x="3762374" y="375266"/>
              <a:ext cx="859536" cy="676656"/>
            </a:xfrm>
            <a:prstGeom prst="rect">
              <a:avLst/>
            </a:prstGeom>
            <a:ln>
              <a:solidFill>
                <a:srgbClr val="0033CC"/>
              </a:solidFill>
            </a:ln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pic macro="[0]!Tab_Repairs">
          <xdr:nvPicPr>
            <xdr:cNvPr id="19" name="Picture 18">
              <a:extLst>
                <a:ext uri="{FF2B5EF4-FFF2-40B4-BE49-F238E27FC236}">
                  <a16:creationId xmlns:a16="http://schemas.microsoft.com/office/drawing/2014/main" id="{00000000-0008-0000-0000-000013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3917822" y="439274"/>
              <a:ext cx="548640" cy="548640"/>
            </a:xfrm>
            <a:prstGeom prst="rect">
              <a:avLst/>
            </a:prstGeom>
          </xdr:spPr>
        </xdr:pic>
      </xdr:grpSp>
      <xdr:grpSp>
        <xdr:nvGrpSpPr>
          <xdr:cNvPr id="41" name="Group 40">
            <a:extLst>
              <a:ext uri="{FF2B5EF4-FFF2-40B4-BE49-F238E27FC236}">
                <a16:creationId xmlns:a16="http://schemas.microsoft.com/office/drawing/2014/main" id="{00000000-0008-0000-0000-000029000000}"/>
              </a:ext>
            </a:extLst>
          </xdr:cNvPr>
          <xdr:cNvGrpSpPr/>
        </xdr:nvGrpSpPr>
        <xdr:grpSpPr>
          <a:xfrm>
            <a:off x="7000874" y="523874"/>
            <a:ext cx="859536" cy="676656"/>
            <a:chOff x="7419974" y="380999"/>
            <a:chExt cx="859536" cy="676656"/>
          </a:xfrm>
        </xdr:grpSpPr>
        <xdr:sp macro="[0]!Tab_Dashboard" textlink="">
          <xdr:nvSpPr>
            <xdr:cNvPr id="70" name="Rectangle 69">
              <a:extLst>
                <a:ext uri="{FF2B5EF4-FFF2-40B4-BE49-F238E27FC236}">
                  <a16:creationId xmlns:a16="http://schemas.microsoft.com/office/drawing/2014/main" id="{00000000-0008-0000-0000-000046000000}"/>
                </a:ext>
              </a:extLst>
            </xdr:cNvPr>
            <xdr:cNvSpPr/>
          </xdr:nvSpPr>
          <xdr:spPr>
            <a:xfrm>
              <a:off x="7419974" y="380999"/>
              <a:ext cx="859536" cy="676656"/>
            </a:xfrm>
            <a:prstGeom prst="rect">
              <a:avLst/>
            </a:prstGeom>
            <a:ln>
              <a:solidFill>
                <a:srgbClr val="0033CC"/>
              </a:solidFill>
            </a:ln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pic macro="[0]!Tab_Dashboard">
          <xdr:nvPicPr>
            <xdr:cNvPr id="21" name="Picture 20">
              <a:extLst>
                <a:ext uri="{FF2B5EF4-FFF2-40B4-BE49-F238E27FC236}">
                  <a16:creationId xmlns:a16="http://schemas.microsoft.com/office/drawing/2014/main" id="{00000000-0008-0000-0000-000015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575422" y="445007"/>
              <a:ext cx="548640" cy="548640"/>
            </a:xfrm>
            <a:prstGeom prst="rect">
              <a:avLst/>
            </a:prstGeom>
          </xdr:spPr>
        </xdr:pic>
      </xdr:grpSp>
      <xdr:grpSp>
        <xdr:nvGrpSpPr>
          <xdr:cNvPr id="40" name="Group 39">
            <a:extLst>
              <a:ext uri="{FF2B5EF4-FFF2-40B4-BE49-F238E27FC236}">
                <a16:creationId xmlns:a16="http://schemas.microsoft.com/office/drawing/2014/main" id="{00000000-0008-0000-0000-000028000000}"/>
              </a:ext>
            </a:extLst>
          </xdr:cNvPr>
          <xdr:cNvGrpSpPr/>
        </xdr:nvGrpSpPr>
        <xdr:grpSpPr>
          <a:xfrm>
            <a:off x="6143624" y="523874"/>
            <a:ext cx="859536" cy="676656"/>
            <a:chOff x="6457949" y="457199"/>
            <a:chExt cx="859536" cy="676656"/>
          </a:xfrm>
        </xdr:grpSpPr>
        <xdr:sp macro="[0]!Tab_Meter" textlink="">
          <xdr:nvSpPr>
            <xdr:cNvPr id="69" name="Rectangle 68">
              <a:extLst>
                <a:ext uri="{FF2B5EF4-FFF2-40B4-BE49-F238E27FC236}">
                  <a16:creationId xmlns:a16="http://schemas.microsoft.com/office/drawing/2014/main" id="{00000000-0008-0000-0000-000045000000}"/>
                </a:ext>
              </a:extLst>
            </xdr:cNvPr>
            <xdr:cNvSpPr/>
          </xdr:nvSpPr>
          <xdr:spPr>
            <a:xfrm>
              <a:off x="6457949" y="457199"/>
              <a:ext cx="859536" cy="676656"/>
            </a:xfrm>
            <a:prstGeom prst="rect">
              <a:avLst/>
            </a:prstGeom>
            <a:ln>
              <a:solidFill>
                <a:srgbClr val="0033CC"/>
              </a:solidFill>
            </a:ln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pic macro="[0]!Tab_Meter">
          <xdr:nvPicPr>
            <xdr:cNvPr id="29" name="Picture 28">
              <a:extLst>
                <a:ext uri="{FF2B5EF4-FFF2-40B4-BE49-F238E27FC236}">
                  <a16:creationId xmlns:a16="http://schemas.microsoft.com/office/drawing/2014/main" id="{00000000-0008-0000-0000-00001D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584849" y="521207"/>
              <a:ext cx="605736" cy="548640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9</xdr:col>
      <xdr:colOff>0</xdr:colOff>
      <xdr:row>11</xdr:row>
      <xdr:rowOff>185737</xdr:rowOff>
    </xdr:from>
    <xdr:to>
      <xdr:col>10</xdr:col>
      <xdr:colOff>1047749</xdr:colOff>
      <xdr:row>13</xdr:row>
      <xdr:rowOff>186118</xdr:rowOff>
    </xdr:to>
    <xdr:grpSp>
      <xdr:nvGrpSpPr>
        <xdr:cNvPr id="2" name="VehicleGrp" hidden="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7630763" y="1280763"/>
          <a:ext cx="1941054" cy="0"/>
          <a:chOff x="7000875" y="3052762"/>
          <a:chExt cx="1895474" cy="381381"/>
        </a:xfrm>
      </xdr:grpSpPr>
      <xdr:grpSp>
        <xdr:nvGrpSpPr>
          <xdr:cNvPr id="44" name="Group 43" hidden="1">
            <a:extLst>
              <a:ext uri="{FF2B5EF4-FFF2-40B4-BE49-F238E27FC236}">
                <a16:creationId xmlns:a16="http://schemas.microsoft.com/office/drawing/2014/main" id="{00000000-0008-0000-0000-00002C000000}"/>
              </a:ext>
            </a:extLst>
          </xdr:cNvPr>
          <xdr:cNvGrpSpPr/>
        </xdr:nvGrpSpPr>
        <xdr:grpSpPr>
          <a:xfrm>
            <a:off x="8067675" y="3052762"/>
            <a:ext cx="828674" cy="381381"/>
            <a:chOff x="8077200" y="3052762"/>
            <a:chExt cx="828674" cy="381381"/>
          </a:xfrm>
        </xdr:grpSpPr>
        <xdr:sp macro="[0]!Vehicle_ClearPic" textlink="">
          <xdr:nvSpPr>
            <xdr:cNvPr id="92" name="Rectangle 91" hidden="1">
              <a:extLst>
                <a:ext uri="{FF2B5EF4-FFF2-40B4-BE49-F238E27FC236}">
                  <a16:creationId xmlns:a16="http://schemas.microsoft.com/office/drawing/2014/main" id="{00000000-0008-0000-0000-00005C000000}"/>
                </a:ext>
              </a:extLst>
            </xdr:cNvPr>
            <xdr:cNvSpPr/>
          </xdr:nvSpPr>
          <xdr:spPr>
            <a:xfrm>
              <a:off x="8077200" y="3052762"/>
              <a:ext cx="828674" cy="381381"/>
            </a:xfrm>
            <a:prstGeom prst="rect">
              <a:avLst/>
            </a:prstGeom>
            <a:ln>
              <a:solidFill>
                <a:srgbClr val="0033CC"/>
              </a:solidFill>
            </a:ln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100" b="1">
                  <a:solidFill>
                    <a:srgbClr val="0033CC"/>
                  </a:solidFill>
                </a:rPr>
                <a:t>Clear</a:t>
              </a:r>
            </a:p>
          </xdr:txBody>
        </xdr:sp>
        <xdr:pic macro="[0]!Vehicle_ClearPic">
          <xdr:nvPicPr>
            <xdr:cNvPr id="15" name="Picture 14" hidden="1">
              <a:extLst>
                <a:ext uri="{FF2B5EF4-FFF2-40B4-BE49-F238E27FC236}">
                  <a16:creationId xmlns:a16="http://schemas.microsoft.com/office/drawing/2014/main" id="{00000000-0008-0000-0000-00000F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8122350" y="3106292"/>
              <a:ext cx="274320" cy="274320"/>
            </a:xfrm>
            <a:prstGeom prst="rect">
              <a:avLst/>
            </a:prstGeom>
          </xdr:spPr>
        </xdr:pic>
      </xdr:grpSp>
      <xdr:grpSp>
        <xdr:nvGrpSpPr>
          <xdr:cNvPr id="43" name="Group 42" hidden="1">
            <a:extLst>
              <a:ext uri="{FF2B5EF4-FFF2-40B4-BE49-F238E27FC236}">
                <a16:creationId xmlns:a16="http://schemas.microsoft.com/office/drawing/2014/main" id="{00000000-0008-0000-0000-00002B000000}"/>
              </a:ext>
            </a:extLst>
          </xdr:cNvPr>
          <xdr:cNvGrpSpPr/>
        </xdr:nvGrpSpPr>
        <xdr:grpSpPr>
          <a:xfrm>
            <a:off x="7000875" y="3052762"/>
            <a:ext cx="1066799" cy="381381"/>
            <a:chOff x="7000875" y="3052762"/>
            <a:chExt cx="1066799" cy="381381"/>
          </a:xfrm>
        </xdr:grpSpPr>
        <xdr:sp macro="[0]!Vehicle_AddPic" textlink="">
          <xdr:nvSpPr>
            <xdr:cNvPr id="78" name="Rectangle 77" hidden="1">
              <a:extLst>
                <a:ext uri="{FF2B5EF4-FFF2-40B4-BE49-F238E27FC236}">
                  <a16:creationId xmlns:a16="http://schemas.microsoft.com/office/drawing/2014/main" id="{00000000-0008-0000-0000-00004E000000}"/>
                </a:ext>
              </a:extLst>
            </xdr:cNvPr>
            <xdr:cNvSpPr/>
          </xdr:nvSpPr>
          <xdr:spPr>
            <a:xfrm>
              <a:off x="7010399" y="3052762"/>
              <a:ext cx="1057275" cy="381381"/>
            </a:xfrm>
            <a:prstGeom prst="rect">
              <a:avLst/>
            </a:prstGeom>
            <a:ln>
              <a:solidFill>
                <a:srgbClr val="0033CC"/>
              </a:solidFill>
            </a:ln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100" b="1">
                  <a:solidFill>
                    <a:srgbClr val="0033CC"/>
                  </a:solidFill>
                </a:rPr>
                <a:t>Add Picture</a:t>
              </a:r>
            </a:p>
          </xdr:txBody>
        </xdr:sp>
        <xdr:pic macro="[0]!Vehicle_AddPic">
          <xdr:nvPicPr>
            <xdr:cNvPr id="10" name="Picture 9" hidden="1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000875" y="3106292"/>
              <a:ext cx="274320" cy="274320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3</xdr:col>
      <xdr:colOff>252385</xdr:colOff>
      <xdr:row>16</xdr:row>
      <xdr:rowOff>133375</xdr:rowOff>
    </xdr:from>
    <xdr:to>
      <xdr:col>5</xdr:col>
      <xdr:colOff>752474</xdr:colOff>
      <xdr:row>75</xdr:row>
      <xdr:rowOff>114721</xdr:rowOff>
    </xdr:to>
    <xdr:grpSp>
      <xdr:nvGrpSpPr>
        <xdr:cNvPr id="30" name="RepairsGrp" hidden="1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GrpSpPr/>
      </xdr:nvGrpSpPr>
      <xdr:grpSpPr>
        <a:xfrm>
          <a:off x="2290735" y="1289050"/>
          <a:ext cx="2513039" cy="565571"/>
          <a:chOff x="1757335" y="3981239"/>
          <a:chExt cx="2424140" cy="577426"/>
        </a:xfrm>
      </xdr:grpSpPr>
      <xdr:pic>
        <xdr:nvPicPr>
          <xdr:cNvPr id="31" name="Picture 30" hidden="1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757335" y="4010025"/>
            <a:ext cx="548640" cy="548640"/>
          </a:xfrm>
          <a:prstGeom prst="rect">
            <a:avLst/>
          </a:prstGeom>
          <a:effectLst>
            <a:outerShdw blurRad="25400" dist="12700" dir="2700000" algn="tl" rotWithShape="0">
              <a:prstClr val="black">
                <a:alpha val="40000"/>
              </a:prstClr>
            </a:outerShdw>
          </a:effectLst>
        </xdr:spPr>
      </xdr:pic>
      <xdr:grpSp>
        <xdr:nvGrpSpPr>
          <xdr:cNvPr id="32" name="SaveExpBtn" hidden="1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GrpSpPr/>
        </xdr:nvGrpSpPr>
        <xdr:grpSpPr>
          <a:xfrm>
            <a:off x="3038475" y="3981239"/>
            <a:ext cx="1143000" cy="228600"/>
            <a:chOff x="6429375" y="4066964"/>
            <a:chExt cx="1143000" cy="228600"/>
          </a:xfrm>
        </xdr:grpSpPr>
        <xdr:sp macro="[1]!Expense_Save" textlink="">
          <xdr:nvSpPr>
            <xdr:cNvPr id="33" name="Rectangle 32" hidden="1">
              <a:extLst>
                <a:ext uri="{FF2B5EF4-FFF2-40B4-BE49-F238E27FC236}">
                  <a16:creationId xmlns:a16="http://schemas.microsoft.com/office/drawing/2014/main" id="{00000000-0008-0000-0000-000021000000}"/>
                </a:ext>
              </a:extLst>
            </xdr:cNvPr>
            <xdr:cNvSpPr/>
          </xdr:nvSpPr>
          <xdr:spPr>
            <a:xfrm>
              <a:off x="6429375" y="4066964"/>
              <a:ext cx="1143000" cy="228600"/>
            </a:xfrm>
            <a:prstGeom prst="rect">
              <a:avLst/>
            </a:prstGeom>
            <a:ln>
              <a:solidFill>
                <a:srgbClr val="0033CC"/>
              </a:solidFill>
            </a:ln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lIns="0" tIns="0" rIns="45720" bIns="0" rtlCol="0" anchor="ctr"/>
            <a:lstStyle/>
            <a:p>
              <a:pPr algn="r"/>
              <a:r>
                <a:rPr lang="en-US" sz="1200" b="1">
                  <a:solidFill>
                    <a:srgbClr val="0033CC"/>
                  </a:solidFill>
                </a:rPr>
                <a:t>Save</a:t>
              </a:r>
              <a:r>
                <a:rPr lang="en-US" sz="1200" b="1" baseline="0">
                  <a:solidFill>
                    <a:srgbClr val="0033CC"/>
                  </a:solidFill>
                </a:rPr>
                <a:t> Expense</a:t>
              </a:r>
              <a:endParaRPr lang="en-US" sz="1200" b="1">
                <a:solidFill>
                  <a:srgbClr val="0033CC"/>
                </a:solidFill>
              </a:endParaRPr>
            </a:p>
          </xdr:txBody>
        </xdr:sp>
        <xdr:pic macro="[1]!Expense_Save">
          <xdr:nvPicPr>
            <xdr:cNvPr id="37" name="Picture 36" hidden="1">
              <a:extLst>
                <a:ext uri="{FF2B5EF4-FFF2-40B4-BE49-F238E27FC236}">
                  <a16:creationId xmlns:a16="http://schemas.microsoft.com/office/drawing/2014/main" id="{00000000-0008-0000-0000-000025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57950" y="4098967"/>
              <a:ext cx="164592" cy="164592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3</xdr:col>
      <xdr:colOff>252385</xdr:colOff>
      <xdr:row>29</xdr:row>
      <xdr:rowOff>133349</xdr:rowOff>
    </xdr:from>
    <xdr:to>
      <xdr:col>5</xdr:col>
      <xdr:colOff>542924</xdr:colOff>
      <xdr:row>75</xdr:row>
      <xdr:rowOff>189288</xdr:rowOff>
    </xdr:to>
    <xdr:grpSp>
      <xdr:nvGrpSpPr>
        <xdr:cNvPr id="45" name="FuelGrp" hidden="1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GrpSpPr/>
      </xdr:nvGrpSpPr>
      <xdr:grpSpPr>
        <a:xfrm>
          <a:off x="2290735" y="1289050"/>
          <a:ext cx="2303489" cy="633788"/>
          <a:chOff x="1757335" y="6534149"/>
          <a:chExt cx="2214590" cy="653416"/>
        </a:xfrm>
      </xdr:grpSpPr>
      <xdr:pic>
        <xdr:nvPicPr>
          <xdr:cNvPr id="46" name="Picture 45" hidden="1">
            <a:extLst>
              <a:ext uri="{FF2B5EF4-FFF2-40B4-BE49-F238E27FC236}">
                <a16:creationId xmlns:a16="http://schemas.microsoft.com/office/drawing/2014/main" id="{00000000-0008-0000-0000-00002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757335" y="6638925"/>
            <a:ext cx="548640" cy="548640"/>
          </a:xfrm>
          <a:prstGeom prst="rect">
            <a:avLst/>
          </a:prstGeom>
          <a:effectLst>
            <a:outerShdw blurRad="25400" dist="12700" dir="2700000" algn="tl" rotWithShape="0">
              <a:prstClr val="black">
                <a:alpha val="40000"/>
              </a:prstClr>
            </a:outerShdw>
          </a:effectLst>
        </xdr:spPr>
      </xdr:pic>
      <xdr:grpSp>
        <xdr:nvGrpSpPr>
          <xdr:cNvPr id="47" name="SaveFuelBtn" hidden="1">
            <a:extLst>
              <a:ext uri="{FF2B5EF4-FFF2-40B4-BE49-F238E27FC236}">
                <a16:creationId xmlns:a16="http://schemas.microsoft.com/office/drawing/2014/main" id="{00000000-0008-0000-0000-00002F000000}"/>
              </a:ext>
            </a:extLst>
          </xdr:cNvPr>
          <xdr:cNvGrpSpPr/>
        </xdr:nvGrpSpPr>
        <xdr:grpSpPr>
          <a:xfrm>
            <a:off x="3057525" y="6534149"/>
            <a:ext cx="914400" cy="228600"/>
            <a:chOff x="6448425" y="4038599"/>
            <a:chExt cx="914400" cy="228600"/>
          </a:xfrm>
        </xdr:grpSpPr>
        <xdr:sp macro="[0]!Fuel_Save" textlink="">
          <xdr:nvSpPr>
            <xdr:cNvPr id="48" name="Rectangle 47" hidden="1">
              <a:extLst>
                <a:ext uri="{FF2B5EF4-FFF2-40B4-BE49-F238E27FC236}">
                  <a16:creationId xmlns:a16="http://schemas.microsoft.com/office/drawing/2014/main" id="{00000000-0008-0000-0000-000030000000}"/>
                </a:ext>
              </a:extLst>
            </xdr:cNvPr>
            <xdr:cNvSpPr/>
          </xdr:nvSpPr>
          <xdr:spPr>
            <a:xfrm>
              <a:off x="6448425" y="4038599"/>
              <a:ext cx="914400" cy="228600"/>
            </a:xfrm>
            <a:prstGeom prst="rect">
              <a:avLst/>
            </a:prstGeom>
            <a:ln>
              <a:solidFill>
                <a:srgbClr val="0033CC"/>
              </a:solidFill>
            </a:ln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lIns="0" tIns="0" rIns="45720" bIns="0" rtlCol="0" anchor="ctr"/>
            <a:lstStyle/>
            <a:p>
              <a:pPr algn="r"/>
              <a:r>
                <a:rPr lang="en-US" sz="1200" b="1">
                  <a:solidFill>
                    <a:srgbClr val="0033CC"/>
                  </a:solidFill>
                </a:rPr>
                <a:t>Save</a:t>
              </a:r>
              <a:r>
                <a:rPr lang="en-US" sz="1200" b="1" baseline="0">
                  <a:solidFill>
                    <a:srgbClr val="0033CC"/>
                  </a:solidFill>
                </a:rPr>
                <a:t> Fuel</a:t>
              </a:r>
              <a:endParaRPr lang="en-US" sz="1200" b="1">
                <a:solidFill>
                  <a:srgbClr val="0033CC"/>
                </a:solidFill>
              </a:endParaRPr>
            </a:p>
          </xdr:txBody>
        </xdr:sp>
        <xdr:pic macro="[0]!Fuel_Save">
          <xdr:nvPicPr>
            <xdr:cNvPr id="49" name="Picture 48" hidden="1">
              <a:extLst>
                <a:ext uri="{FF2B5EF4-FFF2-40B4-BE49-F238E27FC236}">
                  <a16:creationId xmlns:a16="http://schemas.microsoft.com/office/drawing/2014/main" id="{00000000-0008-0000-0000-000031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77000" y="4070603"/>
              <a:ext cx="164592" cy="164592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3</xdr:col>
      <xdr:colOff>219075</xdr:colOff>
      <xdr:row>42</xdr:row>
      <xdr:rowOff>114299</xdr:rowOff>
    </xdr:from>
    <xdr:to>
      <xdr:col>10</xdr:col>
      <xdr:colOff>417195</xdr:colOff>
      <xdr:row>75</xdr:row>
      <xdr:rowOff>151188</xdr:rowOff>
    </xdr:to>
    <xdr:grpSp>
      <xdr:nvGrpSpPr>
        <xdr:cNvPr id="50" name="RemindersGrp" hidden="1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GrpSpPr/>
      </xdr:nvGrpSpPr>
      <xdr:grpSpPr>
        <a:xfrm>
          <a:off x="2257425" y="1289050"/>
          <a:ext cx="6681470" cy="602038"/>
          <a:chOff x="1866900" y="1409699"/>
          <a:chExt cx="6398895" cy="615316"/>
        </a:xfrm>
      </xdr:grpSpPr>
      <xdr:pic>
        <xdr:nvPicPr>
          <xdr:cNvPr id="51" name="Picture 50" hidden="1">
            <a:extLst>
              <a:ext uri="{FF2B5EF4-FFF2-40B4-BE49-F238E27FC236}">
                <a16:creationId xmlns:a16="http://schemas.microsoft.com/office/drawing/2014/main" id="{00000000-0008-0000-0000-00003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66900" y="1476375"/>
            <a:ext cx="548640" cy="548640"/>
          </a:xfrm>
          <a:prstGeom prst="rect">
            <a:avLst/>
          </a:prstGeom>
          <a:effectLst>
            <a:outerShdw blurRad="25400" dist="12700" dir="2700000" algn="tl" rotWithShape="0">
              <a:prstClr val="black">
                <a:alpha val="40000"/>
              </a:prstClr>
            </a:outerShdw>
          </a:effectLst>
        </xdr:spPr>
      </xdr:pic>
      <xdr:grpSp>
        <xdr:nvGrpSpPr>
          <xdr:cNvPr id="52" name="SaveRemBtn" hidden="1">
            <a:extLst>
              <a:ext uri="{FF2B5EF4-FFF2-40B4-BE49-F238E27FC236}">
                <a16:creationId xmlns:a16="http://schemas.microsoft.com/office/drawing/2014/main" id="{00000000-0008-0000-0000-000034000000}"/>
              </a:ext>
            </a:extLst>
          </xdr:cNvPr>
          <xdr:cNvGrpSpPr/>
        </xdr:nvGrpSpPr>
        <xdr:grpSpPr>
          <a:xfrm>
            <a:off x="3143250" y="1409699"/>
            <a:ext cx="5122545" cy="238125"/>
            <a:chOff x="6372225" y="4076699"/>
            <a:chExt cx="5122545" cy="238125"/>
          </a:xfrm>
        </xdr:grpSpPr>
        <xdr:sp macro="[1]!Reminder_Save" textlink="">
          <xdr:nvSpPr>
            <xdr:cNvPr id="54" name="Rectangle 53" hidden="1">
              <a:extLst>
                <a:ext uri="{FF2B5EF4-FFF2-40B4-BE49-F238E27FC236}">
                  <a16:creationId xmlns:a16="http://schemas.microsoft.com/office/drawing/2014/main" id="{00000000-0008-0000-0000-000036000000}"/>
                </a:ext>
              </a:extLst>
            </xdr:cNvPr>
            <xdr:cNvSpPr/>
          </xdr:nvSpPr>
          <xdr:spPr>
            <a:xfrm>
              <a:off x="6372225" y="4076699"/>
              <a:ext cx="1280160" cy="228600"/>
            </a:xfrm>
            <a:prstGeom prst="rect">
              <a:avLst/>
            </a:prstGeom>
            <a:ln>
              <a:solidFill>
                <a:srgbClr val="0033CC"/>
              </a:solidFill>
            </a:ln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lIns="0" tIns="0" rIns="45720" bIns="0" rtlCol="0" anchor="ctr"/>
            <a:lstStyle/>
            <a:p>
              <a:pPr algn="r"/>
              <a:r>
                <a:rPr lang="en-US" sz="1200" b="1">
                  <a:solidFill>
                    <a:srgbClr val="0033CC"/>
                  </a:solidFill>
                </a:rPr>
                <a:t>Save</a:t>
              </a:r>
              <a:r>
                <a:rPr lang="en-US" sz="1200" b="1" baseline="0">
                  <a:solidFill>
                    <a:srgbClr val="0033CC"/>
                  </a:solidFill>
                </a:rPr>
                <a:t> Reminder</a:t>
              </a:r>
              <a:endParaRPr lang="en-US" sz="1200" b="1">
                <a:solidFill>
                  <a:srgbClr val="0033CC"/>
                </a:solidFill>
              </a:endParaRPr>
            </a:p>
          </xdr:txBody>
        </xdr:sp>
        <xdr:pic macro="[1]!Reminder_Save">
          <xdr:nvPicPr>
            <xdr:cNvPr id="55" name="Picture 54" hidden="1">
              <a:extLst>
                <a:ext uri="{FF2B5EF4-FFF2-40B4-BE49-F238E27FC236}">
                  <a16:creationId xmlns:a16="http://schemas.microsoft.com/office/drawing/2014/main" id="{00000000-0008-0000-0000-000037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00800" y="4108703"/>
              <a:ext cx="164592" cy="164592"/>
            </a:xfrm>
            <a:prstGeom prst="rect">
              <a:avLst/>
            </a:prstGeom>
          </xdr:spPr>
        </xdr:pic>
        <xdr:sp macro="[1]!CheckForReminders" textlink="">
          <xdr:nvSpPr>
            <xdr:cNvPr id="56" name="Rectangle 55" hidden="1">
              <a:extLst>
                <a:ext uri="{FF2B5EF4-FFF2-40B4-BE49-F238E27FC236}">
                  <a16:creationId xmlns:a16="http://schemas.microsoft.com/office/drawing/2014/main" id="{00000000-0008-0000-0000-000038000000}"/>
                </a:ext>
              </a:extLst>
            </xdr:cNvPr>
            <xdr:cNvSpPr/>
          </xdr:nvSpPr>
          <xdr:spPr>
            <a:xfrm>
              <a:off x="9848850" y="4086224"/>
              <a:ext cx="1645920" cy="228600"/>
            </a:xfrm>
            <a:prstGeom prst="rect">
              <a:avLst/>
            </a:prstGeom>
            <a:ln>
              <a:solidFill>
                <a:srgbClr val="0033CC"/>
              </a:solidFill>
            </a:ln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lIns="0" tIns="0" rIns="45720" bIns="0" rtlCol="0" anchor="ctr"/>
            <a:lstStyle/>
            <a:p>
              <a:pPr algn="r"/>
              <a:r>
                <a:rPr lang="en-US" sz="1200" b="1">
                  <a:solidFill>
                    <a:srgbClr val="0033CC"/>
                  </a:solidFill>
                </a:rPr>
                <a:t>Check For</a:t>
              </a:r>
              <a:r>
                <a:rPr lang="en-US" sz="1200" b="1" baseline="0">
                  <a:solidFill>
                    <a:srgbClr val="0033CC"/>
                  </a:solidFill>
                </a:rPr>
                <a:t> Reminders</a:t>
              </a:r>
              <a:endParaRPr lang="en-US" sz="1200" b="1">
                <a:solidFill>
                  <a:srgbClr val="0033CC"/>
                </a:solidFill>
              </a:endParaRPr>
            </a:p>
          </xdr:txBody>
        </xdr:sp>
      </xdr:grpSp>
      <xdr:pic macro="[1]!CheckForReminders">
        <xdr:nvPicPr>
          <xdr:cNvPr id="53" name="Picture 52" hidden="1">
            <a:extLst>
              <a:ext uri="{FF2B5EF4-FFF2-40B4-BE49-F238E27FC236}">
                <a16:creationId xmlns:a16="http://schemas.microsoft.com/office/drawing/2014/main" id="{00000000-0008-0000-0000-00003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67500" y="1457325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3</xdr:col>
      <xdr:colOff>223838</xdr:colOff>
      <xdr:row>60</xdr:row>
      <xdr:rowOff>95249</xdr:rowOff>
    </xdr:from>
    <xdr:to>
      <xdr:col>6</xdr:col>
      <xdr:colOff>68579</xdr:colOff>
      <xdr:row>76</xdr:row>
      <xdr:rowOff>46413</xdr:rowOff>
    </xdr:to>
    <xdr:grpSp>
      <xdr:nvGrpSpPr>
        <xdr:cNvPr id="57" name="MeterGrp" hidden="1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GrpSpPr/>
      </xdr:nvGrpSpPr>
      <xdr:grpSpPr>
        <a:xfrm>
          <a:off x="2262188" y="1289050"/>
          <a:ext cx="2753041" cy="681413"/>
          <a:chOff x="1728788" y="11601449"/>
          <a:chExt cx="2626042" cy="701041"/>
        </a:xfrm>
      </xdr:grpSpPr>
      <xdr:pic>
        <xdr:nvPicPr>
          <xdr:cNvPr id="58" name="Picture 57" hidden="1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728788" y="11753850"/>
            <a:ext cx="605735" cy="548640"/>
          </a:xfrm>
          <a:prstGeom prst="rect">
            <a:avLst/>
          </a:prstGeom>
          <a:effectLst>
            <a:outerShdw blurRad="25400" dist="12700" dir="2700000" algn="tl" rotWithShape="0">
              <a:prstClr val="black">
                <a:alpha val="40000"/>
              </a:prstClr>
            </a:outerShdw>
          </a:effectLst>
        </xdr:spPr>
      </xdr:pic>
      <xdr:grpSp>
        <xdr:nvGrpSpPr>
          <xdr:cNvPr id="59" name="SaveMeterBtn" hidden="1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GrpSpPr/>
        </xdr:nvGrpSpPr>
        <xdr:grpSpPr>
          <a:xfrm>
            <a:off x="2800350" y="11601449"/>
            <a:ext cx="1554480" cy="228600"/>
            <a:chOff x="6181725" y="4038599"/>
            <a:chExt cx="1554480" cy="228600"/>
          </a:xfrm>
        </xdr:grpSpPr>
        <xdr:sp macro="[0]!Meter_Save" textlink="">
          <xdr:nvSpPr>
            <xdr:cNvPr id="60" name="Rectangle 59" hidden="1">
              <a:extLst>
                <a:ext uri="{FF2B5EF4-FFF2-40B4-BE49-F238E27FC236}">
                  <a16:creationId xmlns:a16="http://schemas.microsoft.com/office/drawing/2014/main" id="{00000000-0008-0000-0000-00003C000000}"/>
                </a:ext>
              </a:extLst>
            </xdr:cNvPr>
            <xdr:cNvSpPr/>
          </xdr:nvSpPr>
          <xdr:spPr>
            <a:xfrm>
              <a:off x="6181725" y="4038599"/>
              <a:ext cx="1554480" cy="228600"/>
            </a:xfrm>
            <a:prstGeom prst="rect">
              <a:avLst/>
            </a:prstGeom>
            <a:ln>
              <a:solidFill>
                <a:srgbClr val="0033CC"/>
              </a:solidFill>
            </a:ln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lIns="0" tIns="0" rIns="45720" bIns="0" rtlCol="0" anchor="ctr"/>
            <a:lstStyle/>
            <a:p>
              <a:pPr algn="r"/>
              <a:r>
                <a:rPr lang="en-US" sz="1200" b="1">
                  <a:solidFill>
                    <a:srgbClr val="0033CC"/>
                  </a:solidFill>
                </a:rPr>
                <a:t>Save</a:t>
              </a:r>
              <a:r>
                <a:rPr lang="en-US" sz="1200" b="1" baseline="0">
                  <a:solidFill>
                    <a:srgbClr val="0033CC"/>
                  </a:solidFill>
                </a:rPr>
                <a:t> Meter Reading</a:t>
              </a:r>
              <a:endParaRPr lang="en-US" sz="1200" b="1">
                <a:solidFill>
                  <a:srgbClr val="0033CC"/>
                </a:solidFill>
              </a:endParaRPr>
            </a:p>
          </xdr:txBody>
        </xdr:sp>
        <xdr:pic macro="[0]!Meter_Save">
          <xdr:nvPicPr>
            <xdr:cNvPr id="61" name="Picture 60" hidden="1">
              <a:extLst>
                <a:ext uri="{FF2B5EF4-FFF2-40B4-BE49-F238E27FC236}">
                  <a16:creationId xmlns:a16="http://schemas.microsoft.com/office/drawing/2014/main" id="{00000000-0008-0000-0000-00003D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210300" y="4070603"/>
              <a:ext cx="164592" cy="164592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3</xdr:col>
      <xdr:colOff>252385</xdr:colOff>
      <xdr:row>73</xdr:row>
      <xdr:rowOff>247650</xdr:rowOff>
    </xdr:from>
    <xdr:to>
      <xdr:col>3</xdr:col>
      <xdr:colOff>801025</xdr:colOff>
      <xdr:row>76</xdr:row>
      <xdr:rowOff>141662</xdr:rowOff>
    </xdr:to>
    <xdr:pic>
      <xdr:nvPicPr>
        <xdr:cNvPr id="62" name="DashboardGrp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0210" y="15259050"/>
          <a:ext cx="548640" cy="548640"/>
        </a:xfrm>
        <a:prstGeom prst="rect">
          <a:avLst/>
        </a:prstGeom>
        <a:effectLst>
          <a:outerShdw blurRad="25400" dist="127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161925</xdr:colOff>
      <xdr:row>16</xdr:row>
      <xdr:rowOff>104775</xdr:rowOff>
    </xdr:from>
    <xdr:to>
      <xdr:col>5</xdr:col>
      <xdr:colOff>662014</xdr:colOff>
      <xdr:row>75</xdr:row>
      <xdr:rowOff>114721</xdr:rowOff>
    </xdr:to>
    <xdr:grpSp>
      <xdr:nvGrpSpPr>
        <xdr:cNvPr id="64" name="RepairGrp" hidden="1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GrpSpPr/>
      </xdr:nvGrpSpPr>
      <xdr:grpSpPr>
        <a:xfrm>
          <a:off x="2200275" y="1289050"/>
          <a:ext cx="2513039" cy="565571"/>
          <a:chOff x="1757335" y="3981239"/>
          <a:chExt cx="2424140" cy="577426"/>
        </a:xfrm>
      </xdr:grpSpPr>
      <xdr:pic>
        <xdr:nvPicPr>
          <xdr:cNvPr id="65" name="Picture 64" hidden="1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757335" y="4010025"/>
            <a:ext cx="548640" cy="548640"/>
          </a:xfrm>
          <a:prstGeom prst="rect">
            <a:avLst/>
          </a:prstGeom>
          <a:effectLst>
            <a:outerShdw blurRad="25400" dist="12700" dir="2700000" algn="tl" rotWithShape="0">
              <a:prstClr val="black">
                <a:alpha val="40000"/>
              </a:prstClr>
            </a:outerShdw>
          </a:effectLst>
        </xdr:spPr>
      </xdr:pic>
      <xdr:grpSp>
        <xdr:nvGrpSpPr>
          <xdr:cNvPr id="71" name="SaveExpBtn" hidden="1">
            <a:extLst>
              <a:ext uri="{FF2B5EF4-FFF2-40B4-BE49-F238E27FC236}">
                <a16:creationId xmlns:a16="http://schemas.microsoft.com/office/drawing/2014/main" id="{00000000-0008-0000-0000-000047000000}"/>
              </a:ext>
            </a:extLst>
          </xdr:cNvPr>
          <xdr:cNvGrpSpPr/>
        </xdr:nvGrpSpPr>
        <xdr:grpSpPr>
          <a:xfrm>
            <a:off x="3038475" y="3981239"/>
            <a:ext cx="1143000" cy="228600"/>
            <a:chOff x="6429375" y="4066964"/>
            <a:chExt cx="1143000" cy="228600"/>
          </a:xfrm>
        </xdr:grpSpPr>
        <xdr:sp macro="[0]!Expense_Save" textlink="">
          <xdr:nvSpPr>
            <xdr:cNvPr id="72" name="Rectangle 71" hidden="1">
              <a:extLst>
                <a:ext uri="{FF2B5EF4-FFF2-40B4-BE49-F238E27FC236}">
                  <a16:creationId xmlns:a16="http://schemas.microsoft.com/office/drawing/2014/main" id="{00000000-0008-0000-0000-000048000000}"/>
                </a:ext>
              </a:extLst>
            </xdr:cNvPr>
            <xdr:cNvSpPr/>
          </xdr:nvSpPr>
          <xdr:spPr>
            <a:xfrm>
              <a:off x="6429375" y="4066964"/>
              <a:ext cx="1143000" cy="228600"/>
            </a:xfrm>
            <a:prstGeom prst="rect">
              <a:avLst/>
            </a:prstGeom>
            <a:ln>
              <a:solidFill>
                <a:srgbClr val="0033CC"/>
              </a:solidFill>
            </a:ln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lIns="0" tIns="0" rIns="45720" bIns="0" rtlCol="0" anchor="ctr"/>
            <a:lstStyle/>
            <a:p>
              <a:pPr algn="r"/>
              <a:r>
                <a:rPr lang="en-US" sz="1200" b="1">
                  <a:solidFill>
                    <a:srgbClr val="0033CC"/>
                  </a:solidFill>
                </a:rPr>
                <a:t>Save</a:t>
              </a:r>
              <a:r>
                <a:rPr lang="en-US" sz="1200" b="1" baseline="0">
                  <a:solidFill>
                    <a:srgbClr val="0033CC"/>
                  </a:solidFill>
                </a:rPr>
                <a:t> Expense</a:t>
              </a:r>
              <a:endParaRPr lang="en-US" sz="1200" b="1">
                <a:solidFill>
                  <a:srgbClr val="0033CC"/>
                </a:solidFill>
              </a:endParaRPr>
            </a:p>
          </xdr:txBody>
        </xdr:sp>
        <xdr:pic macro="[0]!Expense_Save">
          <xdr:nvPicPr>
            <xdr:cNvPr id="73" name="Picture 72" hidden="1">
              <a:extLst>
                <a:ext uri="{FF2B5EF4-FFF2-40B4-BE49-F238E27FC236}">
                  <a16:creationId xmlns:a16="http://schemas.microsoft.com/office/drawing/2014/main" id="{00000000-0008-0000-0000-000049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57950" y="4098967"/>
              <a:ext cx="164592" cy="164592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3</xdr:col>
      <xdr:colOff>133350</xdr:colOff>
      <xdr:row>42</xdr:row>
      <xdr:rowOff>133350</xdr:rowOff>
    </xdr:from>
    <xdr:to>
      <xdr:col>10</xdr:col>
      <xdr:colOff>331470</xdr:colOff>
      <xdr:row>75</xdr:row>
      <xdr:rowOff>151188</xdr:rowOff>
    </xdr:to>
    <xdr:grpSp>
      <xdr:nvGrpSpPr>
        <xdr:cNvPr id="80" name="ReminderGrp" hidden="1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GrpSpPr/>
      </xdr:nvGrpSpPr>
      <xdr:grpSpPr>
        <a:xfrm>
          <a:off x="2171700" y="1289050"/>
          <a:ext cx="6681470" cy="602038"/>
          <a:chOff x="1866900" y="1409699"/>
          <a:chExt cx="6398895" cy="615316"/>
        </a:xfrm>
      </xdr:grpSpPr>
      <xdr:pic>
        <xdr:nvPicPr>
          <xdr:cNvPr id="81" name="Picture 80" hidden="1">
            <a:extLst>
              <a:ext uri="{FF2B5EF4-FFF2-40B4-BE49-F238E27FC236}">
                <a16:creationId xmlns:a16="http://schemas.microsoft.com/office/drawing/2014/main" id="{00000000-0008-0000-0000-00005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66900" y="1476375"/>
            <a:ext cx="548640" cy="548640"/>
          </a:xfrm>
          <a:prstGeom prst="rect">
            <a:avLst/>
          </a:prstGeom>
          <a:effectLst>
            <a:outerShdw blurRad="25400" dist="12700" dir="2700000" algn="tl" rotWithShape="0">
              <a:prstClr val="black">
                <a:alpha val="40000"/>
              </a:prstClr>
            </a:outerShdw>
          </a:effectLst>
        </xdr:spPr>
      </xdr:pic>
      <xdr:grpSp>
        <xdr:nvGrpSpPr>
          <xdr:cNvPr id="82" name="SaveRemBtn" hidden="1">
            <a:extLst>
              <a:ext uri="{FF2B5EF4-FFF2-40B4-BE49-F238E27FC236}">
                <a16:creationId xmlns:a16="http://schemas.microsoft.com/office/drawing/2014/main" id="{00000000-0008-0000-0000-000052000000}"/>
              </a:ext>
            </a:extLst>
          </xdr:cNvPr>
          <xdr:cNvGrpSpPr/>
        </xdr:nvGrpSpPr>
        <xdr:grpSpPr>
          <a:xfrm>
            <a:off x="3143250" y="1409699"/>
            <a:ext cx="5122545" cy="238125"/>
            <a:chOff x="6372225" y="4076699"/>
            <a:chExt cx="5122545" cy="238125"/>
          </a:xfrm>
        </xdr:grpSpPr>
        <xdr:sp macro="[0]!Reminders_Save" textlink="">
          <xdr:nvSpPr>
            <xdr:cNvPr id="84" name="Rectangle 83" hidden="1">
              <a:extLst>
                <a:ext uri="{FF2B5EF4-FFF2-40B4-BE49-F238E27FC236}">
                  <a16:creationId xmlns:a16="http://schemas.microsoft.com/office/drawing/2014/main" id="{00000000-0008-0000-0000-000054000000}"/>
                </a:ext>
              </a:extLst>
            </xdr:cNvPr>
            <xdr:cNvSpPr/>
          </xdr:nvSpPr>
          <xdr:spPr>
            <a:xfrm>
              <a:off x="6372225" y="4076699"/>
              <a:ext cx="1280160" cy="228600"/>
            </a:xfrm>
            <a:prstGeom prst="rect">
              <a:avLst/>
            </a:prstGeom>
            <a:ln>
              <a:solidFill>
                <a:srgbClr val="0033CC"/>
              </a:solidFill>
            </a:ln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lIns="0" tIns="0" rIns="45720" bIns="0" rtlCol="0" anchor="ctr"/>
            <a:lstStyle/>
            <a:p>
              <a:pPr algn="r"/>
              <a:r>
                <a:rPr lang="en-US" sz="1200" b="1">
                  <a:solidFill>
                    <a:srgbClr val="0033CC"/>
                  </a:solidFill>
                </a:rPr>
                <a:t>Save</a:t>
              </a:r>
              <a:r>
                <a:rPr lang="en-US" sz="1200" b="1" baseline="0">
                  <a:solidFill>
                    <a:srgbClr val="0033CC"/>
                  </a:solidFill>
                </a:rPr>
                <a:t> Reminder</a:t>
              </a:r>
              <a:endParaRPr lang="en-US" sz="1200" b="1">
                <a:solidFill>
                  <a:srgbClr val="0033CC"/>
                </a:solidFill>
              </a:endParaRPr>
            </a:p>
          </xdr:txBody>
        </xdr:sp>
        <xdr:pic macro="[0]!Reminders_Save">
          <xdr:nvPicPr>
            <xdr:cNvPr id="85" name="Picture 84" hidden="1">
              <a:extLst>
                <a:ext uri="{FF2B5EF4-FFF2-40B4-BE49-F238E27FC236}">
                  <a16:creationId xmlns:a16="http://schemas.microsoft.com/office/drawing/2014/main" id="{00000000-0008-0000-0000-000055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00800" y="4108703"/>
              <a:ext cx="164592" cy="164592"/>
            </a:xfrm>
            <a:prstGeom prst="rect">
              <a:avLst/>
            </a:prstGeom>
          </xdr:spPr>
        </xdr:pic>
        <xdr:sp macro="[0]!CheckForReminders" textlink="">
          <xdr:nvSpPr>
            <xdr:cNvPr id="86" name="Rectangle 85" hidden="1">
              <a:extLst>
                <a:ext uri="{FF2B5EF4-FFF2-40B4-BE49-F238E27FC236}">
                  <a16:creationId xmlns:a16="http://schemas.microsoft.com/office/drawing/2014/main" id="{00000000-0008-0000-0000-000056000000}"/>
                </a:ext>
              </a:extLst>
            </xdr:cNvPr>
            <xdr:cNvSpPr/>
          </xdr:nvSpPr>
          <xdr:spPr>
            <a:xfrm>
              <a:off x="9848850" y="4086224"/>
              <a:ext cx="1645920" cy="228600"/>
            </a:xfrm>
            <a:prstGeom prst="rect">
              <a:avLst/>
            </a:prstGeom>
            <a:ln>
              <a:solidFill>
                <a:srgbClr val="0033CC"/>
              </a:solidFill>
            </a:ln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lIns="0" tIns="0" rIns="45720" bIns="0" rtlCol="0" anchor="ctr"/>
            <a:lstStyle/>
            <a:p>
              <a:pPr algn="r"/>
              <a:r>
                <a:rPr lang="en-US" sz="1200" b="1">
                  <a:solidFill>
                    <a:srgbClr val="0033CC"/>
                  </a:solidFill>
                </a:rPr>
                <a:t>Check For</a:t>
              </a:r>
              <a:r>
                <a:rPr lang="en-US" sz="1200" b="1" baseline="0">
                  <a:solidFill>
                    <a:srgbClr val="0033CC"/>
                  </a:solidFill>
                </a:rPr>
                <a:t> Reminders</a:t>
              </a:r>
              <a:endParaRPr lang="en-US" sz="1200" b="1">
                <a:solidFill>
                  <a:srgbClr val="0033CC"/>
                </a:solidFill>
              </a:endParaRPr>
            </a:p>
          </xdr:txBody>
        </xdr:sp>
      </xdr:grpSp>
      <xdr:pic macro="[0]!CheckForReminders">
        <xdr:nvPicPr>
          <xdr:cNvPr id="83" name="Picture 82" hidden="1">
            <a:extLst>
              <a:ext uri="{FF2B5EF4-FFF2-40B4-BE49-F238E27FC236}">
                <a16:creationId xmlns:a16="http://schemas.microsoft.com/office/drawing/2014/main" id="{00000000-0008-0000-0000-00005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67500" y="1457325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4</xdr:col>
      <xdr:colOff>457200</xdr:colOff>
      <xdr:row>3</xdr:row>
      <xdr:rowOff>104775</xdr:rowOff>
    </xdr:from>
    <xdr:to>
      <xdr:col>5</xdr:col>
      <xdr:colOff>742950</xdr:colOff>
      <xdr:row>73</xdr:row>
      <xdr:rowOff>222614</xdr:rowOff>
    </xdr:to>
    <xdr:grpSp>
      <xdr:nvGrpSpPr>
        <xdr:cNvPr id="94" name="SaveVehBtn" hidden="1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GrpSpPr/>
      </xdr:nvGrpSpPr>
      <xdr:grpSpPr>
        <a:xfrm>
          <a:off x="3613150" y="1289050"/>
          <a:ext cx="1181100" cy="222614"/>
          <a:chOff x="3286953" y="1539736"/>
          <a:chExt cx="1147142" cy="226943"/>
        </a:xfrm>
      </xdr:grpSpPr>
      <xdr:sp macro="[0]!Vehicle_Save" textlink="">
        <xdr:nvSpPr>
          <xdr:cNvPr id="95" name="Rectangle 94" hidden="1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SpPr/>
        </xdr:nvSpPr>
        <xdr:spPr>
          <a:xfrm>
            <a:off x="3286953" y="1539736"/>
            <a:ext cx="1147142" cy="226943"/>
          </a:xfrm>
          <a:prstGeom prst="rect">
            <a:avLst/>
          </a:prstGeom>
          <a:ln>
            <a:solidFill>
              <a:srgbClr val="0033CC"/>
            </a:solidFill>
          </a:ln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lIns="0" tIns="0" rIns="45720" bIns="0" rtlCol="0" anchor="ctr"/>
          <a:lstStyle/>
          <a:p>
            <a:pPr algn="r"/>
            <a:r>
              <a:rPr lang="en-US" sz="1200" b="1">
                <a:solidFill>
                  <a:srgbClr val="0033CC"/>
                </a:solidFill>
              </a:rPr>
              <a:t>Save Vehicle</a:t>
            </a:r>
          </a:p>
        </xdr:txBody>
      </xdr:sp>
      <xdr:pic macro="[0]!Vehicle_Save">
        <xdr:nvPicPr>
          <xdr:cNvPr id="96" name="Picture 95" hidden="1">
            <a:extLst>
              <a:ext uri="{FF2B5EF4-FFF2-40B4-BE49-F238E27FC236}">
                <a16:creationId xmlns:a16="http://schemas.microsoft.com/office/drawing/2014/main" id="{00000000-0008-0000-0000-00006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363153" y="1576180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4</xdr:col>
      <xdr:colOff>447675</xdr:colOff>
      <xdr:row>3</xdr:row>
      <xdr:rowOff>104775</xdr:rowOff>
    </xdr:from>
    <xdr:to>
      <xdr:col>5</xdr:col>
      <xdr:colOff>733425</xdr:colOff>
      <xdr:row>73</xdr:row>
      <xdr:rowOff>222614</xdr:rowOff>
    </xdr:to>
    <xdr:grpSp>
      <xdr:nvGrpSpPr>
        <xdr:cNvPr id="97" name="AddVehBtn" hidden="1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GrpSpPr/>
      </xdr:nvGrpSpPr>
      <xdr:grpSpPr>
        <a:xfrm>
          <a:off x="3603625" y="1289050"/>
          <a:ext cx="1181100" cy="222614"/>
          <a:chOff x="6867525" y="3095623"/>
          <a:chExt cx="1143000" cy="415636"/>
        </a:xfrm>
      </xdr:grpSpPr>
      <xdr:sp macro="[0]!Vehicle_Add" textlink="">
        <xdr:nvSpPr>
          <xdr:cNvPr id="98" name="Rectangle 97" hidden="1">
            <a:extLst>
              <a:ext uri="{FF2B5EF4-FFF2-40B4-BE49-F238E27FC236}">
                <a16:creationId xmlns:a16="http://schemas.microsoft.com/office/drawing/2014/main" id="{00000000-0008-0000-0000-000062000000}"/>
              </a:ext>
            </a:extLst>
          </xdr:cNvPr>
          <xdr:cNvSpPr/>
        </xdr:nvSpPr>
        <xdr:spPr>
          <a:xfrm>
            <a:off x="6867525" y="3095623"/>
            <a:ext cx="1143000" cy="415636"/>
          </a:xfrm>
          <a:prstGeom prst="rect">
            <a:avLst/>
          </a:prstGeom>
          <a:ln>
            <a:solidFill>
              <a:srgbClr val="0033CC"/>
            </a:solidFill>
          </a:ln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lIns="0" tIns="0" rIns="45720" bIns="0" rtlCol="0" anchor="ctr"/>
          <a:lstStyle/>
          <a:p>
            <a:pPr algn="r"/>
            <a:r>
              <a:rPr lang="en-US" sz="1200" b="1">
                <a:solidFill>
                  <a:srgbClr val="0033CC"/>
                </a:solidFill>
              </a:rPr>
              <a:t>Add Vehicle</a:t>
            </a:r>
          </a:p>
        </xdr:txBody>
      </xdr:sp>
      <xdr:pic macro="[0]!Vehicle_Add">
        <xdr:nvPicPr>
          <xdr:cNvPr id="99" name="Picture 98" hidden="1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896100" y="3164203"/>
            <a:ext cx="164592" cy="299258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364476</xdr:colOff>
      <xdr:row>76</xdr:row>
      <xdr:rowOff>38100</xdr:rowOff>
    </xdr:from>
    <xdr:to>
      <xdr:col>6</xdr:col>
      <xdr:colOff>389767</xdr:colOff>
      <xdr:row>87</xdr:row>
      <xdr:rowOff>123825</xdr:rowOff>
    </xdr:to>
    <xdr:graphicFrame macro="">
      <xdr:nvGraphicFramePr>
        <xdr:cNvPr id="108" name="Chart 107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133350</xdr:colOff>
      <xdr:row>76</xdr:row>
      <xdr:rowOff>59121</xdr:rowOff>
    </xdr:from>
    <xdr:to>
      <xdr:col>11</xdr:col>
      <xdr:colOff>228600</xdr:colOff>
      <xdr:row>86</xdr:row>
      <xdr:rowOff>171451</xdr:rowOff>
    </xdr:to>
    <xdr:graphicFrame macro="">
      <xdr:nvGraphicFramePr>
        <xdr:cNvPr id="109" name="Chart 108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9</xdr:col>
      <xdr:colOff>254000</xdr:colOff>
      <xdr:row>5</xdr:row>
      <xdr:rowOff>0</xdr:rowOff>
    </xdr:from>
    <xdr:to>
      <xdr:col>10</xdr:col>
      <xdr:colOff>930276</xdr:colOff>
      <xdr:row>78</xdr:row>
      <xdr:rowOff>145654</xdr:rowOff>
    </xdr:to>
    <xdr:pic>
      <xdr:nvPicPr>
        <xdr:cNvPr id="112" name="VehiclePic" hidden="1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5"/>
        <a:stretch>
          <a:fillRect/>
        </a:stretch>
      </xdr:blipFill>
      <xdr:spPr>
        <a:xfrm>
          <a:off x="7254875" y="1724025"/>
          <a:ext cx="1524000" cy="1181282"/>
        </a:xfrm>
        <a:prstGeom prst="rect">
          <a:avLst/>
        </a:prstGeom>
      </xdr:spPr>
    </xdr:pic>
    <xdr:clientData/>
  </xdr:twoCellAnchor>
  <xdr:twoCellAnchor editAs="oneCell">
    <xdr:from>
      <xdr:col>12</xdr:col>
      <xdr:colOff>226017</xdr:colOff>
      <xdr:row>1</xdr:row>
      <xdr:rowOff>344407</xdr:rowOff>
    </xdr:from>
    <xdr:to>
      <xdr:col>12</xdr:col>
      <xdr:colOff>3509703</xdr:colOff>
      <xdr:row>92</xdr:row>
      <xdr:rowOff>113421</xdr:rowOff>
    </xdr:to>
    <xdr:pic>
      <xdr:nvPicPr>
        <xdr:cNvPr id="77" name="Picture 76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4CBC76F7-6B02-4683-9912-90CB09BDA7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35339" y="721102"/>
          <a:ext cx="3283686" cy="423553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eilr/Dropbox/Excel4Freelancers/FreeTrainingVideos/Vehicle%20Expense%20Tracker/Vehicle_Expense_Tracker_Sampl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ehicle Expense Tracker"/>
      <sheetName val="Vehicle List"/>
      <sheetName val="Expenses List"/>
      <sheetName val="Fuel Log"/>
      <sheetName val="Reminders"/>
      <sheetName val="Meter Tracking"/>
      <sheetName val="Vehicle_Expense_Tracker_Sample"/>
    </sheetNames>
    <definedNames>
      <definedName name="CheckForReminders"/>
      <definedName name="Expense_Save"/>
      <definedName name="Reminder_Save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117"/>
  <sheetViews>
    <sheetView showZeros="0" tabSelected="1" zoomScaleNormal="100" workbookViewId="0">
      <selection activeCell="M3" sqref="M3"/>
    </sheetView>
  </sheetViews>
  <sheetFormatPr defaultRowHeight="14.5" x14ac:dyDescent="0.35"/>
  <cols>
    <col min="1" max="1" width="11.26953125" bestFit="1" customWidth="1"/>
    <col min="3" max="3" width="9.1796875" customWidth="1"/>
    <col min="4" max="4" width="16" customWidth="1"/>
    <col min="5" max="9" width="12.81640625" customWidth="1"/>
    <col min="10" max="10" width="12.7265625" customWidth="1"/>
    <col min="11" max="11" width="15.81640625" customWidth="1"/>
    <col min="12" max="12" width="5.453125" customWidth="1"/>
    <col min="13" max="13" width="82.453125" customWidth="1"/>
    <col min="14" max="14" width="3.81640625" customWidth="1"/>
  </cols>
  <sheetData>
    <row r="1" spans="1:20" ht="30" customHeight="1" x14ac:dyDescent="0.5">
      <c r="A1" s="2"/>
      <c r="B1" s="2"/>
      <c r="C1" s="38"/>
      <c r="D1" s="38"/>
      <c r="E1" s="67" t="s">
        <v>113</v>
      </c>
      <c r="F1" s="67"/>
      <c r="G1" s="67"/>
      <c r="H1" s="67"/>
      <c r="I1" s="67"/>
      <c r="J1" s="67"/>
      <c r="K1" s="67"/>
      <c r="L1" s="38"/>
      <c r="M1" s="38"/>
    </row>
    <row r="2" spans="1:20" ht="57" customHeight="1" x14ac:dyDescent="0.35">
      <c r="A2" s="2"/>
      <c r="B2" s="2"/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spans="1:20" x14ac:dyDescent="0.35">
      <c r="A3" s="48" t="s">
        <v>8</v>
      </c>
      <c r="B3" s="49">
        <v>10</v>
      </c>
      <c r="C3" s="3"/>
      <c r="D3" s="10"/>
      <c r="E3" s="10"/>
      <c r="F3" s="10"/>
      <c r="G3" s="10"/>
      <c r="H3" s="10"/>
      <c r="I3" s="10"/>
      <c r="J3" s="10"/>
      <c r="K3" s="10"/>
      <c r="L3" s="10"/>
      <c r="M3" s="3"/>
    </row>
    <row r="4" spans="1:20" ht="18.5" hidden="1" x14ac:dyDescent="0.45">
      <c r="A4" s="48" t="s">
        <v>114</v>
      </c>
      <c r="B4" s="49">
        <f ca="1">IFERROR(MATCH(F6,Vehicles,0)+3,"")</f>
        <v>4</v>
      </c>
      <c r="C4" s="3"/>
      <c r="D4" s="4"/>
      <c r="E4" s="65" t="s">
        <v>0</v>
      </c>
      <c r="F4" s="65"/>
      <c r="G4" s="65"/>
      <c r="H4" s="65"/>
      <c r="I4" s="65"/>
      <c r="J4" s="65"/>
      <c r="K4" s="65"/>
      <c r="L4" s="5"/>
      <c r="M4" s="3"/>
    </row>
    <row r="5" spans="1:20" hidden="1" x14ac:dyDescent="0.35">
      <c r="A5" s="48" t="s">
        <v>115</v>
      </c>
      <c r="B5" s="49" t="b">
        <v>0</v>
      </c>
      <c r="C5" s="3"/>
      <c r="D5" s="40" t="s">
        <v>1</v>
      </c>
      <c r="E5" s="7"/>
      <c r="F5" s="7"/>
      <c r="G5" s="7"/>
      <c r="H5" s="7"/>
      <c r="I5" s="7"/>
      <c r="J5" s="80" t="s">
        <v>14</v>
      </c>
      <c r="K5" s="81"/>
      <c r="L5" s="8"/>
      <c r="M5" s="3"/>
    </row>
    <row r="6" spans="1:20" hidden="1" x14ac:dyDescent="0.35">
      <c r="A6" s="48" t="s">
        <v>94</v>
      </c>
      <c r="B6" s="49">
        <v>6</v>
      </c>
      <c r="C6" s="3"/>
      <c r="D6" s="39" t="str">
        <f>'Vehicle List'!A4</f>
        <v>Car 1</v>
      </c>
      <c r="E6" s="9" t="s">
        <v>21</v>
      </c>
      <c r="F6" s="13" t="s">
        <v>2</v>
      </c>
      <c r="G6" s="9" t="s">
        <v>23</v>
      </c>
      <c r="H6" s="13">
        <v>457874</v>
      </c>
      <c r="I6" s="7"/>
      <c r="J6" s="4"/>
      <c r="K6" s="5"/>
      <c r="L6" s="8"/>
      <c r="M6" s="3"/>
      <c r="O6" t="s">
        <v>21</v>
      </c>
      <c r="P6" s="53">
        <v>1</v>
      </c>
      <c r="Q6" t="s">
        <v>23</v>
      </c>
      <c r="R6" s="53">
        <v>2</v>
      </c>
    </row>
    <row r="7" spans="1:20" hidden="1" x14ac:dyDescent="0.35">
      <c r="A7" s="54" t="s">
        <v>116</v>
      </c>
      <c r="B7" s="55" t="b">
        <v>0</v>
      </c>
      <c r="C7" s="3"/>
      <c r="D7" s="39" t="str">
        <f>'Vehicle List'!A5</f>
        <v>Car 2</v>
      </c>
      <c r="E7" s="9"/>
      <c r="F7" s="7"/>
      <c r="G7" s="9"/>
      <c r="H7" s="7"/>
      <c r="I7" s="7"/>
      <c r="J7" s="6"/>
      <c r="K7" s="8"/>
      <c r="L7" s="8"/>
      <c r="M7" s="3"/>
      <c r="P7" s="53"/>
      <c r="R7" s="53"/>
    </row>
    <row r="8" spans="1:20" hidden="1" x14ac:dyDescent="0.35">
      <c r="A8" s="2"/>
      <c r="B8" s="2"/>
      <c r="C8" s="3"/>
      <c r="D8" s="39" t="str">
        <f>'Vehicle List'!A6</f>
        <v>Car 3</v>
      </c>
      <c r="E8" s="9" t="s">
        <v>10</v>
      </c>
      <c r="F8" s="13" t="s">
        <v>33</v>
      </c>
      <c r="G8" s="9" t="s">
        <v>11</v>
      </c>
      <c r="H8" s="13" t="s">
        <v>34</v>
      </c>
      <c r="I8" s="7"/>
      <c r="J8" s="6"/>
      <c r="K8" s="8"/>
      <c r="L8" s="8"/>
      <c r="M8" s="3"/>
      <c r="O8" t="s">
        <v>10</v>
      </c>
      <c r="P8" s="53">
        <v>3</v>
      </c>
      <c r="Q8" t="s">
        <v>11</v>
      </c>
      <c r="R8" s="53">
        <v>4</v>
      </c>
    </row>
    <row r="9" spans="1:20" hidden="1" x14ac:dyDescent="0.35">
      <c r="A9" s="2"/>
      <c r="B9" s="2"/>
      <c r="C9" s="3"/>
      <c r="D9" s="39" t="str">
        <f>'Vehicle List'!A7</f>
        <v>Car 4</v>
      </c>
      <c r="E9" s="9"/>
      <c r="F9" s="7"/>
      <c r="G9" s="9"/>
      <c r="H9" s="7"/>
      <c r="I9" s="7"/>
      <c r="J9" s="6"/>
      <c r="K9" s="8"/>
      <c r="L9" s="8"/>
      <c r="M9" s="3"/>
      <c r="P9" s="53"/>
      <c r="R9" s="53"/>
    </row>
    <row r="10" spans="1:20" hidden="1" x14ac:dyDescent="0.35">
      <c r="A10" s="2"/>
      <c r="B10" s="2"/>
      <c r="C10" s="3"/>
      <c r="D10" s="39" t="str">
        <f>'Vehicle List'!A8</f>
        <v>Car 5</v>
      </c>
      <c r="E10" s="9" t="s">
        <v>12</v>
      </c>
      <c r="F10" s="13" t="s">
        <v>32</v>
      </c>
      <c r="G10" s="9" t="s">
        <v>13</v>
      </c>
      <c r="H10" s="13">
        <v>4</v>
      </c>
      <c r="I10" s="7"/>
      <c r="J10" s="6"/>
      <c r="K10" s="8"/>
      <c r="L10" s="8"/>
      <c r="M10" s="3"/>
      <c r="O10" t="s">
        <v>12</v>
      </c>
      <c r="P10" s="53">
        <v>5</v>
      </c>
      <c r="Q10" t="s">
        <v>13</v>
      </c>
      <c r="R10" s="53">
        <v>6</v>
      </c>
    </row>
    <row r="11" spans="1:20" hidden="1" x14ac:dyDescent="0.35">
      <c r="A11" s="2"/>
      <c r="B11" s="2"/>
      <c r="C11" s="3"/>
      <c r="D11" s="39" t="str">
        <f>'Vehicle List'!A9</f>
        <v>Car 6</v>
      </c>
      <c r="E11" s="9"/>
      <c r="F11" s="7"/>
      <c r="G11" s="9"/>
      <c r="H11" s="7"/>
      <c r="I11" s="7"/>
      <c r="J11" s="6"/>
      <c r="K11" s="8"/>
      <c r="L11" s="8"/>
      <c r="M11" s="3"/>
      <c r="P11" s="53"/>
    </row>
    <row r="12" spans="1:20" hidden="1" x14ac:dyDescent="0.35">
      <c r="A12" s="2"/>
      <c r="B12" s="2"/>
      <c r="C12" s="3"/>
      <c r="D12" s="39" t="str">
        <f>'Vehicle List'!A10</f>
        <v>Car 7</v>
      </c>
      <c r="E12" s="9" t="s">
        <v>19</v>
      </c>
      <c r="F12" s="71" t="s">
        <v>35</v>
      </c>
      <c r="G12" s="72"/>
      <c r="H12" s="73"/>
      <c r="I12" s="7"/>
      <c r="J12" s="12"/>
      <c r="K12" s="11"/>
      <c r="L12" s="8" t="s">
        <v>117</v>
      </c>
      <c r="M12" s="3"/>
      <c r="O12" t="s">
        <v>19</v>
      </c>
      <c r="P12" s="53">
        <v>7</v>
      </c>
    </row>
    <row r="13" spans="1:20" hidden="1" x14ac:dyDescent="0.35">
      <c r="A13" s="2"/>
      <c r="B13" s="2"/>
      <c r="C13" s="3"/>
      <c r="D13" s="39" t="str">
        <f>'Vehicle List'!A11</f>
        <v>Car 8</v>
      </c>
      <c r="E13" s="7"/>
      <c r="F13" s="74"/>
      <c r="G13" s="75"/>
      <c r="H13" s="76"/>
      <c r="I13" s="7"/>
      <c r="J13" s="6" t="s">
        <v>43</v>
      </c>
      <c r="K13" s="8"/>
      <c r="L13" s="8" t="s">
        <v>117</v>
      </c>
      <c r="M13" s="3"/>
      <c r="S13" t="s">
        <v>9</v>
      </c>
      <c r="T13" s="53">
        <v>8</v>
      </c>
    </row>
    <row r="14" spans="1:20" hidden="1" x14ac:dyDescent="0.35">
      <c r="A14" s="2"/>
      <c r="B14" s="2"/>
      <c r="C14" s="3"/>
      <c r="D14" s="39">
        <f>'Vehicle List'!A12</f>
        <v>0</v>
      </c>
      <c r="E14" s="7"/>
      <c r="F14" s="74"/>
      <c r="G14" s="75"/>
      <c r="H14" s="76"/>
      <c r="I14" s="7"/>
      <c r="J14" s="12"/>
      <c r="K14" s="11"/>
      <c r="L14" s="8"/>
      <c r="M14" s="3"/>
    </row>
    <row r="15" spans="1:20" hidden="1" x14ac:dyDescent="0.35">
      <c r="A15" s="2"/>
      <c r="B15" s="2"/>
      <c r="C15" s="3"/>
      <c r="D15" s="39">
        <f>'Vehicle List'!A13</f>
        <v>1</v>
      </c>
      <c r="E15" s="7"/>
      <c r="F15" s="77"/>
      <c r="G15" s="78"/>
      <c r="H15" s="79"/>
      <c r="I15" s="7"/>
      <c r="J15" s="7"/>
      <c r="K15" s="7"/>
      <c r="L15" s="8"/>
      <c r="M15" s="3"/>
    </row>
    <row r="16" spans="1:20" hidden="1" x14ac:dyDescent="0.35">
      <c r="A16" s="2"/>
      <c r="B16" s="2"/>
      <c r="C16" s="3"/>
      <c r="D16" s="12"/>
      <c r="E16" s="10"/>
      <c r="F16" s="10"/>
      <c r="G16" s="10"/>
      <c r="H16" s="10"/>
      <c r="I16" s="10"/>
      <c r="J16" s="10"/>
      <c r="K16" s="10"/>
      <c r="L16" s="11"/>
      <c r="M16" s="3"/>
    </row>
    <row r="17" spans="1:13" ht="21" hidden="1" customHeight="1" x14ac:dyDescent="0.5">
      <c r="A17" s="2"/>
      <c r="B17" s="2"/>
      <c r="C17" s="3"/>
      <c r="D17" s="4"/>
      <c r="E17" s="66" t="s">
        <v>15</v>
      </c>
      <c r="F17" s="66"/>
      <c r="G17" s="66"/>
      <c r="H17" s="66"/>
      <c r="I17" s="66"/>
      <c r="J17" s="66"/>
      <c r="K17" s="66"/>
      <c r="L17" s="5"/>
      <c r="M17" s="3"/>
    </row>
    <row r="18" spans="1:13" hidden="1" x14ac:dyDescent="0.35">
      <c r="A18" s="2"/>
      <c r="B18" s="2"/>
      <c r="C18" s="3"/>
      <c r="D18" s="6"/>
      <c r="E18" s="7"/>
      <c r="F18" s="7"/>
      <c r="G18" s="7"/>
      <c r="H18" s="7"/>
      <c r="I18" s="7"/>
      <c r="J18" s="7"/>
      <c r="K18" s="7"/>
      <c r="L18" s="8"/>
      <c r="M18" s="3"/>
    </row>
    <row r="19" spans="1:13" hidden="1" x14ac:dyDescent="0.35">
      <c r="A19" s="2" t="s">
        <v>46</v>
      </c>
      <c r="B19" s="2"/>
      <c r="C19" s="3"/>
      <c r="D19" s="6"/>
      <c r="E19" s="9" t="s">
        <v>95</v>
      </c>
      <c r="F19" s="13"/>
      <c r="G19" s="9" t="s">
        <v>96</v>
      </c>
      <c r="H19" s="41"/>
      <c r="I19" s="9" t="s">
        <v>97</v>
      </c>
      <c r="J19" s="42"/>
      <c r="K19" s="7"/>
      <c r="L19" s="8"/>
      <c r="M19" s="3"/>
    </row>
    <row r="20" spans="1:13" hidden="1" x14ac:dyDescent="0.35">
      <c r="A20" s="2" t="s">
        <v>47</v>
      </c>
      <c r="B20" s="2"/>
      <c r="C20" s="3"/>
      <c r="D20" s="6"/>
      <c r="E20" s="9"/>
      <c r="F20" s="7"/>
      <c r="G20" s="7"/>
      <c r="H20" s="7"/>
      <c r="I20" s="7"/>
      <c r="J20" s="7"/>
      <c r="K20" s="7"/>
      <c r="L20" s="8"/>
      <c r="M20" s="3"/>
    </row>
    <row r="21" spans="1:13" hidden="1" x14ac:dyDescent="0.35">
      <c r="A21" s="2" t="s">
        <v>126</v>
      </c>
      <c r="B21" s="2"/>
      <c r="C21" s="3"/>
      <c r="D21" s="6"/>
      <c r="E21" s="9" t="s">
        <v>98</v>
      </c>
      <c r="F21" s="13"/>
      <c r="G21" s="9" t="s">
        <v>99</v>
      </c>
      <c r="H21" s="68"/>
      <c r="I21" s="69"/>
      <c r="J21" s="70"/>
      <c r="K21" s="7"/>
      <c r="L21" s="8"/>
      <c r="M21" s="3"/>
    </row>
    <row r="22" spans="1:13" hidden="1" x14ac:dyDescent="0.35">
      <c r="A22" s="2" t="s">
        <v>44</v>
      </c>
      <c r="B22" s="2"/>
      <c r="C22" s="3"/>
      <c r="D22" s="6"/>
      <c r="E22" s="7"/>
      <c r="F22" s="7"/>
      <c r="G22" s="7"/>
      <c r="H22" s="7"/>
      <c r="I22" s="7"/>
      <c r="J22" s="7"/>
      <c r="K22" s="7"/>
      <c r="L22" s="8"/>
      <c r="M22" s="3"/>
    </row>
    <row r="23" spans="1:13" hidden="1" x14ac:dyDescent="0.35">
      <c r="A23" s="2" t="s">
        <v>45</v>
      </c>
      <c r="B23" s="2"/>
      <c r="C23" s="3"/>
      <c r="D23" s="6"/>
      <c r="E23" s="9" t="s">
        <v>100</v>
      </c>
      <c r="F23" s="71"/>
      <c r="G23" s="72"/>
      <c r="H23" s="72"/>
      <c r="I23" s="72"/>
      <c r="J23" s="73"/>
      <c r="K23" s="7"/>
      <c r="L23" s="8"/>
      <c r="M23" s="3"/>
    </row>
    <row r="24" spans="1:13" hidden="1" x14ac:dyDescent="0.35">
      <c r="A24" s="2"/>
      <c r="B24" s="2"/>
      <c r="C24" s="3"/>
      <c r="D24" s="6"/>
      <c r="E24" s="7"/>
      <c r="F24" s="74"/>
      <c r="G24" s="75"/>
      <c r="H24" s="75"/>
      <c r="I24" s="75"/>
      <c r="J24" s="76"/>
      <c r="K24" s="7"/>
      <c r="L24" s="8"/>
      <c r="M24" s="3"/>
    </row>
    <row r="25" spans="1:13" hidden="1" x14ac:dyDescent="0.35">
      <c r="A25" s="2"/>
      <c r="B25" s="2"/>
      <c r="C25" s="3"/>
      <c r="D25" s="6"/>
      <c r="E25" s="7"/>
      <c r="F25" s="74"/>
      <c r="G25" s="75"/>
      <c r="H25" s="75"/>
      <c r="I25" s="75"/>
      <c r="J25" s="76"/>
      <c r="K25" s="7"/>
      <c r="L25" s="8"/>
      <c r="M25" s="3"/>
    </row>
    <row r="26" spans="1:13" hidden="1" x14ac:dyDescent="0.35">
      <c r="A26" s="2"/>
      <c r="B26" s="2"/>
      <c r="C26" s="3"/>
      <c r="D26" s="6"/>
      <c r="E26" s="7"/>
      <c r="F26" s="74"/>
      <c r="G26" s="75"/>
      <c r="H26" s="75"/>
      <c r="I26" s="75"/>
      <c r="J26" s="76"/>
      <c r="K26" s="7"/>
      <c r="L26" s="8"/>
      <c r="M26" s="3"/>
    </row>
    <row r="27" spans="1:13" hidden="1" x14ac:dyDescent="0.35">
      <c r="A27" s="2"/>
      <c r="B27" s="2"/>
      <c r="C27" s="3"/>
      <c r="D27" s="6"/>
      <c r="E27" s="7"/>
      <c r="F27" s="74"/>
      <c r="G27" s="75"/>
      <c r="H27" s="75"/>
      <c r="I27" s="75"/>
      <c r="J27" s="76"/>
      <c r="K27" s="7"/>
      <c r="L27" s="8"/>
      <c r="M27" s="3"/>
    </row>
    <row r="28" spans="1:13" hidden="1" x14ac:dyDescent="0.35">
      <c r="A28" s="2"/>
      <c r="B28" s="2"/>
      <c r="C28" s="3"/>
      <c r="D28" s="6"/>
      <c r="E28" s="7"/>
      <c r="F28" s="77"/>
      <c r="G28" s="78"/>
      <c r="H28" s="78"/>
      <c r="I28" s="78"/>
      <c r="J28" s="79"/>
      <c r="K28" s="7"/>
      <c r="L28" s="8"/>
      <c r="M28" s="3"/>
    </row>
    <row r="29" spans="1:13" hidden="1" x14ac:dyDescent="0.35">
      <c r="A29" s="2"/>
      <c r="B29" s="2"/>
      <c r="C29" s="3"/>
      <c r="D29" s="12"/>
      <c r="E29" s="10"/>
      <c r="F29" s="10"/>
      <c r="G29" s="10"/>
      <c r="H29" s="10"/>
      <c r="I29" s="10"/>
      <c r="J29" s="10"/>
      <c r="K29" s="10"/>
      <c r="L29" s="11"/>
      <c r="M29" s="3"/>
    </row>
    <row r="30" spans="1:13" ht="21" hidden="1" customHeight="1" x14ac:dyDescent="0.5">
      <c r="A30" s="2"/>
      <c r="B30" s="2"/>
      <c r="C30" s="3"/>
      <c r="D30" s="4"/>
      <c r="E30" s="66" t="s">
        <v>24</v>
      </c>
      <c r="F30" s="66"/>
      <c r="G30" s="66"/>
      <c r="H30" s="66"/>
      <c r="I30" s="66"/>
      <c r="J30" s="66"/>
      <c r="K30" s="66"/>
      <c r="L30" s="5"/>
      <c r="M30" s="3"/>
    </row>
    <row r="31" spans="1:13" hidden="1" x14ac:dyDescent="0.35">
      <c r="A31" s="2"/>
      <c r="B31" s="2"/>
      <c r="C31" s="3"/>
      <c r="D31" s="6"/>
      <c r="E31" s="7"/>
      <c r="F31" s="7"/>
      <c r="G31" s="7"/>
      <c r="H31" s="7"/>
      <c r="I31" s="7"/>
      <c r="J31" s="7"/>
      <c r="K31" s="7"/>
      <c r="L31" s="8"/>
      <c r="M31" s="3"/>
    </row>
    <row r="32" spans="1:13" hidden="1" x14ac:dyDescent="0.35">
      <c r="A32" s="2"/>
      <c r="B32" s="2"/>
      <c r="C32" s="3"/>
      <c r="D32" s="6"/>
      <c r="E32" s="9" t="s">
        <v>95</v>
      </c>
      <c r="F32" s="13"/>
      <c r="G32" s="9" t="s">
        <v>96</v>
      </c>
      <c r="H32" s="43"/>
      <c r="I32" s="9" t="s">
        <v>97</v>
      </c>
      <c r="J32" s="13"/>
      <c r="K32" s="7"/>
      <c r="L32" s="8"/>
      <c r="M32" s="3"/>
    </row>
    <row r="33" spans="1:13" hidden="1" x14ac:dyDescent="0.35">
      <c r="A33" s="2"/>
      <c r="B33" s="2"/>
      <c r="C33" s="3"/>
      <c r="D33" s="6"/>
      <c r="E33" s="9"/>
      <c r="F33" s="7"/>
      <c r="G33" s="7"/>
      <c r="H33" s="7"/>
      <c r="I33" s="9"/>
      <c r="J33" s="7"/>
      <c r="K33" s="7"/>
      <c r="L33" s="8"/>
      <c r="M33" s="3"/>
    </row>
    <row r="34" spans="1:13" hidden="1" x14ac:dyDescent="0.35">
      <c r="A34" s="2"/>
      <c r="B34" s="2"/>
      <c r="C34" s="3"/>
      <c r="D34" s="6"/>
      <c r="E34" s="9" t="s">
        <v>101</v>
      </c>
      <c r="F34" s="13"/>
      <c r="G34" s="9" t="s">
        <v>102</v>
      </c>
      <c r="H34" s="13"/>
      <c r="I34" s="9"/>
      <c r="J34" s="13"/>
      <c r="K34" s="7"/>
      <c r="L34" s="8"/>
      <c r="M34" s="3"/>
    </row>
    <row r="35" spans="1:13" hidden="1" x14ac:dyDescent="0.35">
      <c r="A35" s="2"/>
      <c r="B35" s="2"/>
      <c r="C35" s="3"/>
      <c r="D35" s="6"/>
      <c r="E35" s="7"/>
      <c r="F35" s="7"/>
      <c r="G35" s="7"/>
      <c r="H35" s="7"/>
      <c r="I35" s="7"/>
      <c r="J35" s="7"/>
      <c r="K35" s="7"/>
      <c r="L35" s="8"/>
      <c r="M35" s="3"/>
    </row>
    <row r="36" spans="1:13" hidden="1" x14ac:dyDescent="0.35">
      <c r="A36" s="2"/>
      <c r="B36" s="2"/>
      <c r="C36" s="3"/>
      <c r="D36" s="6"/>
      <c r="E36" s="9" t="s">
        <v>100</v>
      </c>
      <c r="F36" s="71"/>
      <c r="G36" s="72"/>
      <c r="H36" s="72"/>
      <c r="I36" s="72"/>
      <c r="J36" s="73"/>
      <c r="K36" s="7"/>
      <c r="L36" s="8"/>
      <c r="M36" s="3"/>
    </row>
    <row r="37" spans="1:13" hidden="1" x14ac:dyDescent="0.35">
      <c r="A37" s="2"/>
      <c r="B37" s="2"/>
      <c r="C37" s="3"/>
      <c r="D37" s="6"/>
      <c r="E37" s="7"/>
      <c r="F37" s="74"/>
      <c r="G37" s="75"/>
      <c r="H37" s="75"/>
      <c r="I37" s="75"/>
      <c r="J37" s="76"/>
      <c r="K37" s="7"/>
      <c r="L37" s="8"/>
      <c r="M37" s="3"/>
    </row>
    <row r="38" spans="1:13" hidden="1" x14ac:dyDescent="0.35">
      <c r="A38" s="2"/>
      <c r="B38" s="2"/>
      <c r="C38" s="3"/>
      <c r="D38" s="6"/>
      <c r="E38" s="7"/>
      <c r="F38" s="74"/>
      <c r="G38" s="75"/>
      <c r="H38" s="75"/>
      <c r="I38" s="75"/>
      <c r="J38" s="76"/>
      <c r="K38" s="7"/>
      <c r="L38" s="8"/>
      <c r="M38" s="3"/>
    </row>
    <row r="39" spans="1:13" hidden="1" x14ac:dyDescent="0.35">
      <c r="A39" s="2"/>
      <c r="B39" s="2"/>
      <c r="C39" s="3"/>
      <c r="D39" s="6"/>
      <c r="E39" s="7"/>
      <c r="F39" s="74"/>
      <c r="G39" s="75"/>
      <c r="H39" s="75"/>
      <c r="I39" s="75"/>
      <c r="J39" s="76"/>
      <c r="K39" s="7"/>
      <c r="L39" s="8"/>
      <c r="M39" s="3"/>
    </row>
    <row r="40" spans="1:13" hidden="1" x14ac:dyDescent="0.35">
      <c r="A40" s="2"/>
      <c r="B40" s="2"/>
      <c r="C40" s="3"/>
      <c r="D40" s="6"/>
      <c r="E40" s="7"/>
      <c r="F40" s="74"/>
      <c r="G40" s="75"/>
      <c r="H40" s="75"/>
      <c r="I40" s="75"/>
      <c r="J40" s="76"/>
      <c r="K40" s="7"/>
      <c r="L40" s="8"/>
      <c r="M40" s="3"/>
    </row>
    <row r="41" spans="1:13" hidden="1" x14ac:dyDescent="0.35">
      <c r="A41" s="2"/>
      <c r="B41" s="2"/>
      <c r="C41" s="3"/>
      <c r="D41" s="6"/>
      <c r="E41" s="7"/>
      <c r="F41" s="77"/>
      <c r="G41" s="78"/>
      <c r="H41" s="78"/>
      <c r="I41" s="78"/>
      <c r="J41" s="79"/>
      <c r="K41" s="7"/>
      <c r="L41" s="8"/>
      <c r="M41" s="3"/>
    </row>
    <row r="42" spans="1:13" hidden="1" x14ac:dyDescent="0.35">
      <c r="A42" s="2"/>
      <c r="B42" s="2"/>
      <c r="C42" s="3"/>
      <c r="D42" s="12"/>
      <c r="E42" s="10"/>
      <c r="F42" s="10"/>
      <c r="G42" s="10"/>
      <c r="H42" s="10"/>
      <c r="I42" s="10"/>
      <c r="J42" s="10"/>
      <c r="K42" s="10"/>
      <c r="L42" s="11"/>
      <c r="M42" s="3"/>
    </row>
    <row r="43" spans="1:13" ht="21" hidden="1" x14ac:dyDescent="0.5">
      <c r="A43" s="2"/>
      <c r="B43" s="2"/>
      <c r="C43" s="3"/>
      <c r="D43" s="4"/>
      <c r="E43" s="66" t="s">
        <v>26</v>
      </c>
      <c r="F43" s="66"/>
      <c r="G43" s="66"/>
      <c r="H43" s="66"/>
      <c r="I43" s="66"/>
      <c r="J43" s="66"/>
      <c r="K43" s="66"/>
      <c r="L43" s="5"/>
      <c r="M43" s="3"/>
    </row>
    <row r="44" spans="1:13" hidden="1" x14ac:dyDescent="0.35">
      <c r="A44" s="2"/>
      <c r="B44" s="2"/>
      <c r="C44" s="3"/>
      <c r="D44" s="6"/>
      <c r="E44" s="7"/>
      <c r="F44" s="7"/>
      <c r="G44" s="7"/>
      <c r="H44" s="7"/>
      <c r="I44" s="7"/>
      <c r="J44" s="7"/>
      <c r="K44" s="7"/>
      <c r="L44" s="8"/>
      <c r="M44" s="3"/>
    </row>
    <row r="45" spans="1:13" hidden="1" x14ac:dyDescent="0.35">
      <c r="A45" s="2"/>
      <c r="B45" s="2"/>
      <c r="C45" s="3"/>
      <c r="D45" s="6"/>
      <c r="E45" s="9" t="s">
        <v>95</v>
      </c>
      <c r="F45" s="13"/>
      <c r="G45" s="9" t="s">
        <v>103</v>
      </c>
      <c r="H45" s="13"/>
      <c r="I45" s="9" t="s">
        <v>104</v>
      </c>
      <c r="J45" s="41"/>
      <c r="K45" s="7"/>
      <c r="L45" s="8"/>
      <c r="M45" s="3"/>
    </row>
    <row r="46" spans="1:13" hidden="1" x14ac:dyDescent="0.35">
      <c r="A46" s="2"/>
      <c r="B46" s="2"/>
      <c r="C46" s="3"/>
      <c r="D46" s="6"/>
      <c r="E46" s="9"/>
      <c r="F46" s="7"/>
      <c r="G46" s="7"/>
      <c r="H46" s="7"/>
      <c r="I46" s="9"/>
      <c r="J46" s="7"/>
      <c r="K46" s="7"/>
      <c r="L46" s="8"/>
      <c r="M46" s="3"/>
    </row>
    <row r="47" spans="1:13" hidden="1" x14ac:dyDescent="0.35">
      <c r="A47" s="2"/>
      <c r="B47" s="2"/>
      <c r="C47" s="3"/>
      <c r="D47" s="6"/>
      <c r="E47" s="9" t="s">
        <v>105</v>
      </c>
      <c r="F47" s="13"/>
      <c r="G47" s="44" t="s">
        <v>106</v>
      </c>
      <c r="H47" s="3"/>
      <c r="I47" s="9" t="s">
        <v>107</v>
      </c>
      <c r="J47" s="13"/>
      <c r="K47" s="3"/>
      <c r="L47" s="8"/>
      <c r="M47" s="3"/>
    </row>
    <row r="48" spans="1:13" hidden="1" x14ac:dyDescent="0.35">
      <c r="A48" s="2"/>
      <c r="B48" s="2"/>
      <c r="C48" s="3"/>
      <c r="D48" s="6"/>
      <c r="E48" s="7"/>
      <c r="F48" s="7"/>
      <c r="G48" s="7"/>
      <c r="H48" s="7"/>
      <c r="I48" s="7"/>
      <c r="J48" s="7"/>
      <c r="K48" s="7"/>
      <c r="L48" s="8"/>
      <c r="M48" s="3"/>
    </row>
    <row r="49" spans="1:13" hidden="1" x14ac:dyDescent="0.35">
      <c r="A49" s="2"/>
      <c r="B49" s="2"/>
      <c r="C49" s="3"/>
      <c r="D49" s="6"/>
      <c r="E49" s="45" t="s">
        <v>18</v>
      </c>
      <c r="F49" s="45" t="s">
        <v>21</v>
      </c>
      <c r="G49" s="45" t="s">
        <v>27</v>
      </c>
      <c r="H49" s="45" t="s">
        <v>108</v>
      </c>
      <c r="I49" s="45" t="s">
        <v>71</v>
      </c>
      <c r="J49" s="45" t="s">
        <v>28</v>
      </c>
      <c r="K49" s="7"/>
      <c r="L49" s="8"/>
      <c r="M49" s="3"/>
    </row>
    <row r="50" spans="1:13" hidden="1" x14ac:dyDescent="0.35">
      <c r="A50" s="2"/>
      <c r="B50" s="2"/>
      <c r="C50" s="3"/>
      <c r="D50" s="6"/>
      <c r="E50" s="50" t="s">
        <v>2</v>
      </c>
      <c r="F50" s="57" t="s">
        <v>92</v>
      </c>
      <c r="G50" s="58">
        <v>43862</v>
      </c>
      <c r="H50" s="57">
        <v>90</v>
      </c>
      <c r="I50" s="57" t="s">
        <v>72</v>
      </c>
      <c r="J50" s="64"/>
      <c r="K50" s="7"/>
      <c r="L50" s="8"/>
      <c r="M50" s="3"/>
    </row>
    <row r="51" spans="1:13" hidden="1" x14ac:dyDescent="0.35">
      <c r="A51" s="2"/>
      <c r="B51" s="2"/>
      <c r="C51" s="3"/>
      <c r="D51" s="6"/>
      <c r="E51" s="50"/>
      <c r="F51" s="60"/>
      <c r="G51" s="61"/>
      <c r="H51" s="60"/>
      <c r="I51" s="60"/>
      <c r="J51" s="64"/>
      <c r="K51" s="7"/>
      <c r="L51" s="8"/>
      <c r="M51" s="3"/>
    </row>
    <row r="52" spans="1:13" hidden="1" x14ac:dyDescent="0.35">
      <c r="A52" s="2"/>
      <c r="B52" s="2"/>
      <c r="C52" s="3"/>
      <c r="D52" s="6"/>
      <c r="E52" s="50"/>
      <c r="F52" s="60"/>
      <c r="G52" s="61"/>
      <c r="H52" s="60"/>
      <c r="I52" s="60"/>
      <c r="J52" s="59"/>
      <c r="K52" s="7"/>
      <c r="L52" s="8"/>
      <c r="M52" s="3"/>
    </row>
    <row r="53" spans="1:13" hidden="1" x14ac:dyDescent="0.35">
      <c r="A53" s="2"/>
      <c r="B53" s="2"/>
      <c r="C53" s="3"/>
      <c r="D53" s="6"/>
      <c r="E53" s="50"/>
      <c r="F53" s="60"/>
      <c r="G53" s="61"/>
      <c r="H53" s="60"/>
      <c r="I53" s="60"/>
      <c r="J53" s="64"/>
      <c r="K53" s="7"/>
      <c r="L53" s="8"/>
      <c r="M53" s="3"/>
    </row>
    <row r="54" spans="1:13" hidden="1" x14ac:dyDescent="0.35">
      <c r="A54" s="2"/>
      <c r="B54" s="2"/>
      <c r="C54" s="3"/>
      <c r="D54" s="6"/>
      <c r="E54" s="50"/>
      <c r="F54" s="60"/>
      <c r="G54" s="61"/>
      <c r="H54" s="60"/>
      <c r="I54" s="60"/>
      <c r="J54" s="59"/>
      <c r="K54" s="7"/>
      <c r="L54" s="8"/>
      <c r="M54" s="3"/>
    </row>
    <row r="55" spans="1:13" hidden="1" x14ac:dyDescent="0.35">
      <c r="A55" s="2"/>
      <c r="B55" s="2"/>
      <c r="C55" s="3"/>
      <c r="D55" s="6"/>
      <c r="E55" s="50"/>
      <c r="F55" s="60"/>
      <c r="G55" s="60"/>
      <c r="H55" s="60"/>
      <c r="I55" s="60"/>
      <c r="J55" s="59"/>
      <c r="K55" s="7"/>
      <c r="L55" s="8"/>
      <c r="M55" s="3"/>
    </row>
    <row r="56" spans="1:13" hidden="1" x14ac:dyDescent="0.35">
      <c r="A56" s="2"/>
      <c r="B56" s="2"/>
      <c r="C56" s="3"/>
      <c r="D56" s="6"/>
      <c r="E56" s="50"/>
      <c r="F56" s="60"/>
      <c r="G56" s="60"/>
      <c r="H56" s="60"/>
      <c r="I56" s="60"/>
      <c r="J56" s="59"/>
      <c r="K56" s="7"/>
      <c r="L56" s="8"/>
      <c r="M56" s="3"/>
    </row>
    <row r="57" spans="1:13" hidden="1" x14ac:dyDescent="0.35">
      <c r="A57" s="2"/>
      <c r="B57" s="2"/>
      <c r="C57" s="3"/>
      <c r="D57" s="6"/>
      <c r="E57" s="50"/>
      <c r="F57" s="60"/>
      <c r="G57" s="60"/>
      <c r="H57" s="60"/>
      <c r="I57" s="60"/>
      <c r="J57" s="59"/>
      <c r="K57" s="7"/>
      <c r="L57" s="8"/>
      <c r="M57" s="3"/>
    </row>
    <row r="58" spans="1:13" hidden="1" x14ac:dyDescent="0.35">
      <c r="A58" s="2"/>
      <c r="B58" s="2"/>
      <c r="C58" s="3"/>
      <c r="D58" s="6"/>
      <c r="E58" s="50"/>
      <c r="F58" s="60"/>
      <c r="G58" s="60"/>
      <c r="H58" s="60"/>
      <c r="I58" s="60"/>
      <c r="J58" s="59"/>
      <c r="K58" s="7"/>
      <c r="L58" s="8"/>
      <c r="M58" s="3"/>
    </row>
    <row r="59" spans="1:13" hidden="1" x14ac:dyDescent="0.35">
      <c r="A59" s="2"/>
      <c r="B59" s="2"/>
      <c r="C59" s="3"/>
      <c r="D59" s="6"/>
      <c r="E59" s="51"/>
      <c r="F59" s="62"/>
      <c r="G59" s="62"/>
      <c r="H59" s="62"/>
      <c r="I59" s="62"/>
      <c r="J59" s="63"/>
      <c r="K59" s="7"/>
      <c r="L59" s="8"/>
      <c r="M59" s="3"/>
    </row>
    <row r="60" spans="1:13" hidden="1" x14ac:dyDescent="0.35">
      <c r="A60" s="2"/>
      <c r="B60" s="2"/>
      <c r="C60" s="3"/>
      <c r="D60" s="12"/>
      <c r="E60" s="10"/>
      <c r="F60" s="10"/>
      <c r="G60" s="10"/>
      <c r="H60" s="10"/>
      <c r="I60" s="10"/>
      <c r="J60" s="10"/>
      <c r="K60" s="10"/>
      <c r="L60" s="11"/>
      <c r="M60" s="3"/>
    </row>
    <row r="61" spans="1:13" ht="21" hidden="1" x14ac:dyDescent="0.5">
      <c r="A61" s="2"/>
      <c r="B61" s="2"/>
      <c r="C61" s="3"/>
      <c r="D61" s="6"/>
      <c r="E61" s="66" t="s">
        <v>30</v>
      </c>
      <c r="F61" s="66"/>
      <c r="G61" s="66"/>
      <c r="H61" s="66"/>
      <c r="I61" s="66"/>
      <c r="J61" s="66"/>
      <c r="K61" s="66"/>
      <c r="L61" s="5"/>
      <c r="M61" s="3"/>
    </row>
    <row r="62" spans="1:13" hidden="1" x14ac:dyDescent="0.35">
      <c r="A62" s="2"/>
      <c r="B62" s="2"/>
      <c r="C62" s="3"/>
      <c r="D62" s="6"/>
      <c r="E62" s="7"/>
      <c r="F62" s="7"/>
      <c r="G62" s="7"/>
      <c r="H62" s="7"/>
      <c r="I62" s="7"/>
      <c r="J62" s="7"/>
      <c r="K62" s="7"/>
      <c r="L62" s="8"/>
      <c r="M62" s="3"/>
    </row>
    <row r="63" spans="1:13" hidden="1" x14ac:dyDescent="0.35">
      <c r="A63" s="2"/>
      <c r="B63" s="2"/>
      <c r="C63" s="3"/>
      <c r="D63" s="6"/>
      <c r="E63" s="9" t="s">
        <v>95</v>
      </c>
      <c r="F63" s="13"/>
      <c r="G63" s="9" t="s">
        <v>109</v>
      </c>
      <c r="H63" s="13"/>
      <c r="I63" s="9" t="s">
        <v>16</v>
      </c>
      <c r="J63" s="43"/>
      <c r="K63" s="7"/>
      <c r="L63" s="8"/>
      <c r="M63" s="3"/>
    </row>
    <row r="64" spans="1:13" hidden="1" x14ac:dyDescent="0.35">
      <c r="A64" s="2"/>
      <c r="B64" s="2"/>
      <c r="C64" s="3"/>
      <c r="D64" s="6"/>
      <c r="E64" s="9"/>
      <c r="F64" s="7"/>
      <c r="G64" s="7"/>
      <c r="H64" s="7"/>
      <c r="I64" s="9"/>
      <c r="J64" s="7"/>
      <c r="K64" s="7"/>
      <c r="L64" s="8"/>
      <c r="M64" s="3"/>
    </row>
    <row r="65" spans="1:19" hidden="1" x14ac:dyDescent="0.35">
      <c r="A65" s="2"/>
      <c r="B65" s="2"/>
      <c r="C65" s="3"/>
      <c r="D65" s="6"/>
      <c r="E65" s="9" t="s">
        <v>110</v>
      </c>
      <c r="F65" s="46"/>
      <c r="G65" s="9"/>
      <c r="H65" s="9"/>
      <c r="I65" s="9"/>
      <c r="J65" s="9"/>
      <c r="K65" s="7"/>
      <c r="L65" s="8"/>
      <c r="M65" s="3"/>
    </row>
    <row r="66" spans="1:19" hidden="1" x14ac:dyDescent="0.35">
      <c r="A66" s="2"/>
      <c r="B66" s="2"/>
      <c r="C66" s="3"/>
      <c r="D66" s="6"/>
      <c r="E66" s="7"/>
      <c r="F66" s="7"/>
      <c r="G66" s="7"/>
      <c r="H66" s="7"/>
      <c r="I66" s="7"/>
      <c r="J66" s="7"/>
      <c r="K66" s="7"/>
      <c r="L66" s="8"/>
      <c r="M66" s="3"/>
    </row>
    <row r="67" spans="1:19" hidden="1" x14ac:dyDescent="0.35">
      <c r="A67" s="2"/>
      <c r="B67" s="2"/>
      <c r="C67" s="3"/>
      <c r="D67" s="6"/>
      <c r="E67" s="7" t="s">
        <v>100</v>
      </c>
      <c r="F67" s="71"/>
      <c r="G67" s="72"/>
      <c r="H67" s="72"/>
      <c r="I67" s="72"/>
      <c r="J67" s="73"/>
      <c r="K67" s="7"/>
      <c r="L67" s="8"/>
      <c r="M67" s="3"/>
    </row>
    <row r="68" spans="1:19" hidden="1" x14ac:dyDescent="0.35">
      <c r="A68" s="2"/>
      <c r="B68" s="2"/>
      <c r="C68" s="3"/>
      <c r="D68" s="6"/>
      <c r="E68" s="7"/>
      <c r="F68" s="74"/>
      <c r="G68" s="75"/>
      <c r="H68" s="75"/>
      <c r="I68" s="75"/>
      <c r="J68" s="76"/>
      <c r="K68" s="7"/>
      <c r="L68" s="8"/>
      <c r="M68" s="3"/>
    </row>
    <row r="69" spans="1:19" hidden="1" x14ac:dyDescent="0.35">
      <c r="A69" s="2"/>
      <c r="B69" s="2"/>
      <c r="C69" s="3"/>
      <c r="D69" s="6"/>
      <c r="E69" s="7"/>
      <c r="F69" s="74"/>
      <c r="G69" s="75"/>
      <c r="H69" s="75"/>
      <c r="I69" s="75"/>
      <c r="J69" s="76"/>
      <c r="K69" s="7"/>
      <c r="L69" s="8"/>
      <c r="M69" s="3"/>
    </row>
    <row r="70" spans="1:19" hidden="1" x14ac:dyDescent="0.35">
      <c r="A70" s="2"/>
      <c r="B70" s="2"/>
      <c r="C70" s="3"/>
      <c r="D70" s="6"/>
      <c r="E70" s="7"/>
      <c r="F70" s="74"/>
      <c r="G70" s="75"/>
      <c r="H70" s="75"/>
      <c r="I70" s="75"/>
      <c r="J70" s="76"/>
      <c r="K70" s="7"/>
      <c r="L70" s="8"/>
      <c r="M70" s="3"/>
    </row>
    <row r="71" spans="1:19" hidden="1" x14ac:dyDescent="0.35">
      <c r="A71" s="2"/>
      <c r="B71" s="2"/>
      <c r="C71" s="3"/>
      <c r="D71" s="6"/>
      <c r="E71" s="7"/>
      <c r="F71" s="74"/>
      <c r="G71" s="75"/>
      <c r="H71" s="75"/>
      <c r="I71" s="75"/>
      <c r="J71" s="76"/>
      <c r="K71" s="7"/>
      <c r="L71" s="8"/>
      <c r="M71" s="3"/>
    </row>
    <row r="72" spans="1:19" hidden="1" x14ac:dyDescent="0.35">
      <c r="A72" s="2"/>
      <c r="B72" s="2"/>
      <c r="C72" s="3"/>
      <c r="D72" s="6"/>
      <c r="E72" s="7"/>
      <c r="F72" s="77"/>
      <c r="G72" s="78"/>
      <c r="H72" s="78"/>
      <c r="I72" s="78"/>
      <c r="J72" s="79"/>
      <c r="K72" s="7"/>
      <c r="L72" s="8"/>
      <c r="M72" s="3"/>
    </row>
    <row r="73" spans="1:19" hidden="1" x14ac:dyDescent="0.35">
      <c r="A73" s="2"/>
      <c r="B73" s="2"/>
      <c r="C73" s="3"/>
      <c r="D73" s="12"/>
      <c r="E73" s="10"/>
      <c r="F73" s="10"/>
      <c r="G73" s="10"/>
      <c r="H73" s="10"/>
      <c r="I73" s="10"/>
      <c r="J73" s="10"/>
      <c r="K73" s="10"/>
      <c r="L73" s="11"/>
      <c r="M73" s="3"/>
    </row>
    <row r="74" spans="1:19" ht="21" x14ac:dyDescent="0.5">
      <c r="A74" s="2"/>
      <c r="B74" s="2"/>
      <c r="C74" s="3"/>
      <c r="D74" s="6"/>
      <c r="E74" s="66" t="s">
        <v>31</v>
      </c>
      <c r="F74" s="66"/>
      <c r="G74" s="66"/>
      <c r="H74" s="66"/>
      <c r="I74" s="66"/>
      <c r="J74" s="66"/>
      <c r="K74" s="66"/>
      <c r="L74" s="8"/>
      <c r="M74" s="3"/>
    </row>
    <row r="75" spans="1:19" x14ac:dyDescent="0.35">
      <c r="A75" s="2"/>
      <c r="B75" s="2"/>
      <c r="C75" s="3"/>
      <c r="D75" s="6"/>
      <c r="E75" s="7"/>
      <c r="F75" s="7"/>
      <c r="G75" s="7"/>
      <c r="H75" s="7"/>
      <c r="I75" s="7"/>
      <c r="J75" s="7"/>
      <c r="K75" s="7"/>
      <c r="L75" s="8"/>
      <c r="M75" s="3"/>
    </row>
    <row r="76" spans="1:19" x14ac:dyDescent="0.35">
      <c r="A76" s="2"/>
      <c r="B76" s="2"/>
      <c r="C76" s="3"/>
      <c r="D76" s="6"/>
      <c r="E76" s="9" t="s">
        <v>95</v>
      </c>
      <c r="F76" s="13" t="s">
        <v>2</v>
      </c>
      <c r="G76" s="9" t="s">
        <v>111</v>
      </c>
      <c r="H76" s="41">
        <v>43831</v>
      </c>
      <c r="I76" s="47" t="s">
        <v>112</v>
      </c>
      <c r="J76" s="41">
        <v>43983</v>
      </c>
      <c r="K76" s="7"/>
      <c r="L76" s="8"/>
      <c r="M76" s="3"/>
    </row>
    <row r="77" spans="1:19" x14ac:dyDescent="0.35">
      <c r="A77" s="2"/>
      <c r="B77" s="2"/>
      <c r="C77" s="3"/>
      <c r="D77" s="6"/>
      <c r="E77" s="9"/>
      <c r="F77" s="7"/>
      <c r="G77" s="7"/>
      <c r="H77" s="7"/>
      <c r="I77" s="9"/>
      <c r="J77" s="7"/>
      <c r="K77" s="7"/>
      <c r="L77" s="8"/>
      <c r="M77" s="3"/>
      <c r="O77" t="s">
        <v>135</v>
      </c>
      <c r="R77" t="s">
        <v>136</v>
      </c>
    </row>
    <row r="78" spans="1:19" x14ac:dyDescent="0.35">
      <c r="A78" s="2"/>
      <c r="B78" s="2"/>
      <c r="C78" s="3"/>
      <c r="D78" s="6"/>
      <c r="E78" s="7"/>
      <c r="F78" s="7"/>
      <c r="G78" s="7"/>
      <c r="H78" s="7"/>
      <c r="I78" s="7"/>
      <c r="J78" s="7"/>
      <c r="K78" s="7"/>
      <c r="L78" s="8"/>
      <c r="M78" s="3"/>
      <c r="O78" t="str">
        <f t="shared" ref="O78:O82" si="0">A19</f>
        <v>Repairs</v>
      </c>
      <c r="P78">
        <f ca="1">SUMIFS(Exp_Amount,Exp_Date,"&gt;="&amp;$H$76,Exp_Date,"&lt;="&amp;$J$76,Exp_Vehicle,$F$76,Exp_Type,$O78)</f>
        <v>85</v>
      </c>
      <c r="Q78">
        <v>1</v>
      </c>
      <c r="R78" t="s">
        <v>137</v>
      </c>
      <c r="S78" s="35">
        <f t="shared" ref="S78:S89" ca="1" si="1">SUMIFS(Fuel_Amount,Fuel_Vehicle,$F$76,Fuel_Date,"&gt;="&amp;DATE(YEAR(TODAY()),Q78,1),Fuel_Date,"&lt;="&amp;EOMONTH(DATE(YEAR(TODAY()),Q78,1),0))</f>
        <v>66</v>
      </c>
    </row>
    <row r="79" spans="1:19" x14ac:dyDescent="0.35">
      <c r="A79" s="2"/>
      <c r="B79" s="2"/>
      <c r="C79" s="3"/>
      <c r="D79" s="6"/>
      <c r="E79" s="7"/>
      <c r="F79" s="7"/>
      <c r="G79" s="7"/>
      <c r="H79" s="7"/>
      <c r="I79" s="7"/>
      <c r="J79" s="7"/>
      <c r="K79" s="7"/>
      <c r="L79" s="8"/>
      <c r="M79" s="3"/>
      <c r="O79" t="str">
        <f t="shared" si="0"/>
        <v>Cleaning</v>
      </c>
      <c r="P79">
        <f ca="1">SUMIFS(Exp_Amount,Exp_Date,"&gt;="&amp;$H$76,Exp_Date,"&lt;="&amp;$J$76,Exp_Vehicle,$F$76,Exp_Type,$O79)</f>
        <v>50</v>
      </c>
      <c r="Q79">
        <v>2</v>
      </c>
      <c r="R79" t="s">
        <v>138</v>
      </c>
      <c r="S79" s="35">
        <f t="shared" ca="1" si="1"/>
        <v>89</v>
      </c>
    </row>
    <row r="80" spans="1:19" x14ac:dyDescent="0.35">
      <c r="A80" s="2"/>
      <c r="B80" s="2"/>
      <c r="C80" s="3"/>
      <c r="D80" s="6"/>
      <c r="E80" s="7"/>
      <c r="F80" s="7"/>
      <c r="G80" s="7"/>
      <c r="H80" s="7"/>
      <c r="I80" s="7"/>
      <c r="J80" s="7"/>
      <c r="K80" s="7"/>
      <c r="L80" s="8"/>
      <c r="M80" s="3"/>
      <c r="O80" t="str">
        <f t="shared" si="0"/>
        <v>Tolls</v>
      </c>
      <c r="P80">
        <f ca="1">SUMIFS(Exp_Amount,Exp_Date,"&gt;="&amp;$H$76,Exp_Date,"&lt;="&amp;$J$76,Exp_Vehicle,$F$76,Exp_Type,$O80)</f>
        <v>85</v>
      </c>
      <c r="Q80">
        <v>3</v>
      </c>
      <c r="R80" t="s">
        <v>139</v>
      </c>
      <c r="S80" s="35">
        <f t="shared" ca="1" si="1"/>
        <v>0</v>
      </c>
    </row>
    <row r="81" spans="1:19" x14ac:dyDescent="0.35">
      <c r="A81" s="2"/>
      <c r="B81" s="2"/>
      <c r="C81" s="3"/>
      <c r="D81" s="6"/>
      <c r="E81" s="7"/>
      <c r="F81" s="7"/>
      <c r="G81" s="7"/>
      <c r="H81" s="7"/>
      <c r="I81" s="7"/>
      <c r="J81" s="7"/>
      <c r="K81" s="7"/>
      <c r="L81" s="8"/>
      <c r="M81" s="3"/>
      <c r="O81" t="str">
        <f t="shared" si="0"/>
        <v>Oil</v>
      </c>
      <c r="P81">
        <f ca="1">SUMIFS(Exp_Amount,Exp_Date,"&gt;="&amp;$H$76,Exp_Date,"&lt;="&amp;$J$76,Exp_Vehicle,$F$76,Exp_Type,$O81)</f>
        <v>190</v>
      </c>
      <c r="Q81">
        <v>4</v>
      </c>
      <c r="R81" t="s">
        <v>140</v>
      </c>
      <c r="S81" s="35">
        <f t="shared" ca="1" si="1"/>
        <v>125</v>
      </c>
    </row>
    <row r="82" spans="1:19" x14ac:dyDescent="0.35">
      <c r="A82" s="2"/>
      <c r="B82" s="2"/>
      <c r="C82" s="3"/>
      <c r="D82" s="6"/>
      <c r="E82" s="7"/>
      <c r="F82" s="7"/>
      <c r="G82" s="7"/>
      <c r="H82" s="7"/>
      <c r="I82" s="7"/>
      <c r="J82" s="7"/>
      <c r="K82" s="7"/>
      <c r="L82" s="8"/>
      <c r="M82" s="3"/>
      <c r="O82" t="str">
        <f t="shared" si="0"/>
        <v>Tires</v>
      </c>
      <c r="P82">
        <f ca="1">SUMIFS(Exp_Amount,Exp_Date,"&gt;="&amp;$H$76,Exp_Date,"&lt;="&amp;$J$76,Exp_Vehicle,$F$76,Exp_Type,$O82)</f>
        <v>50</v>
      </c>
      <c r="Q82">
        <v>5</v>
      </c>
      <c r="R82" t="s">
        <v>141</v>
      </c>
      <c r="S82" s="35">
        <f t="shared" ca="1" si="1"/>
        <v>124</v>
      </c>
    </row>
    <row r="83" spans="1:19" x14ac:dyDescent="0.35">
      <c r="A83" s="2"/>
      <c r="B83" s="2"/>
      <c r="C83" s="3"/>
      <c r="D83" s="6"/>
      <c r="E83" s="7"/>
      <c r="F83" s="7"/>
      <c r="G83" s="7"/>
      <c r="H83" s="7"/>
      <c r="I83" s="7"/>
      <c r="J83" s="7"/>
      <c r="K83" s="7"/>
      <c r="L83" s="8"/>
      <c r="M83" s="3"/>
      <c r="Q83">
        <v>6</v>
      </c>
      <c r="R83" t="s">
        <v>142</v>
      </c>
      <c r="S83" s="35">
        <f t="shared" ca="1" si="1"/>
        <v>122</v>
      </c>
    </row>
    <row r="84" spans="1:19" x14ac:dyDescent="0.35">
      <c r="A84" s="2"/>
      <c r="B84" s="2"/>
      <c r="C84" s="3"/>
      <c r="D84" s="6"/>
      <c r="E84" s="7"/>
      <c r="F84" s="7"/>
      <c r="G84" s="7"/>
      <c r="H84" s="7"/>
      <c r="I84" s="7"/>
      <c r="J84" s="7"/>
      <c r="K84" s="7"/>
      <c r="L84" s="8"/>
      <c r="M84" s="3"/>
      <c r="Q84">
        <v>7</v>
      </c>
      <c r="R84" t="s">
        <v>143</v>
      </c>
      <c r="S84" s="35">
        <f t="shared" ca="1" si="1"/>
        <v>0</v>
      </c>
    </row>
    <row r="85" spans="1:19" x14ac:dyDescent="0.35">
      <c r="A85" s="2"/>
      <c r="B85" s="2"/>
      <c r="C85" s="3"/>
      <c r="D85" s="6"/>
      <c r="E85" s="7"/>
      <c r="F85" s="7"/>
      <c r="G85" s="7"/>
      <c r="H85" s="7"/>
      <c r="I85" s="7"/>
      <c r="J85" s="7"/>
      <c r="K85" s="7"/>
      <c r="L85" s="8"/>
      <c r="M85" s="3"/>
      <c r="Q85">
        <v>8</v>
      </c>
      <c r="R85" t="s">
        <v>144</v>
      </c>
      <c r="S85" s="35">
        <f t="shared" ca="1" si="1"/>
        <v>0</v>
      </c>
    </row>
    <row r="86" spans="1:19" x14ac:dyDescent="0.35">
      <c r="A86" s="2"/>
      <c r="B86" s="2"/>
      <c r="C86" s="3"/>
      <c r="D86" s="6"/>
      <c r="E86" s="7"/>
      <c r="F86" s="7"/>
      <c r="G86" s="7"/>
      <c r="H86" s="7"/>
      <c r="I86" s="7"/>
      <c r="J86" s="7"/>
      <c r="K86" s="7"/>
      <c r="L86" s="8"/>
      <c r="M86" s="3"/>
      <c r="Q86">
        <v>9</v>
      </c>
      <c r="R86" t="s">
        <v>145</v>
      </c>
      <c r="S86" s="35">
        <f t="shared" ca="1" si="1"/>
        <v>0</v>
      </c>
    </row>
    <row r="87" spans="1:19" x14ac:dyDescent="0.35">
      <c r="A87" s="2"/>
      <c r="B87" s="2"/>
      <c r="C87" s="3"/>
      <c r="D87" s="6"/>
      <c r="E87" s="7"/>
      <c r="F87" s="7"/>
      <c r="G87" s="7"/>
      <c r="H87" s="7"/>
      <c r="I87" s="7"/>
      <c r="J87" s="7"/>
      <c r="K87" s="7"/>
      <c r="L87" s="8"/>
      <c r="M87" s="3"/>
      <c r="Q87">
        <v>10</v>
      </c>
      <c r="R87" t="s">
        <v>146</v>
      </c>
      <c r="S87" s="35">
        <f t="shared" ca="1" si="1"/>
        <v>0</v>
      </c>
    </row>
    <row r="88" spans="1:19" x14ac:dyDescent="0.35">
      <c r="A88" s="2"/>
      <c r="B88" s="2"/>
      <c r="C88" s="3"/>
      <c r="D88" s="12"/>
      <c r="E88" s="10"/>
      <c r="F88" s="10"/>
      <c r="G88" s="10"/>
      <c r="H88" s="10"/>
      <c r="I88" s="10"/>
      <c r="J88" s="10"/>
      <c r="K88" s="10"/>
      <c r="L88" s="11"/>
      <c r="M88" s="3"/>
      <c r="Q88">
        <v>11</v>
      </c>
      <c r="R88" t="s">
        <v>147</v>
      </c>
      <c r="S88" s="35">
        <f t="shared" ca="1" si="1"/>
        <v>0</v>
      </c>
    </row>
    <row r="89" spans="1:19" x14ac:dyDescent="0.35">
      <c r="A89" s="2"/>
      <c r="B89" s="2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Q89">
        <v>12</v>
      </c>
      <c r="R89" t="s">
        <v>148</v>
      </c>
      <c r="S89" s="35">
        <f t="shared" ca="1" si="1"/>
        <v>0</v>
      </c>
    </row>
    <row r="90" spans="1:19" x14ac:dyDescent="0.35">
      <c r="A90" s="2"/>
      <c r="B90" s="2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</row>
    <row r="91" spans="1:19" x14ac:dyDescent="0.35">
      <c r="A91" s="2"/>
      <c r="B91" s="2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</row>
    <row r="92" spans="1:19" x14ac:dyDescent="0.35">
      <c r="A92" s="2"/>
      <c r="B92" s="2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</row>
    <row r="93" spans="1:19" x14ac:dyDescent="0.35">
      <c r="A93" s="2"/>
      <c r="B93" s="2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</row>
    <row r="94" spans="1:19" x14ac:dyDescent="0.35">
      <c r="A94" s="2"/>
      <c r="B94" s="2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</row>
    <row r="95" spans="1:19" x14ac:dyDescent="0.35">
      <c r="A95" s="2"/>
      <c r="B95" s="2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</row>
    <row r="96" spans="1:19" x14ac:dyDescent="0.35">
      <c r="A96" s="2"/>
      <c r="B96" s="2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</row>
    <row r="97" spans="1:13" x14ac:dyDescent="0.35">
      <c r="A97" s="2"/>
      <c r="B97" s="2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</row>
    <row r="98" spans="1:13" x14ac:dyDescent="0.35">
      <c r="A98" s="2"/>
      <c r="B98" s="2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</row>
    <row r="99" spans="1:13" x14ac:dyDescent="0.35">
      <c r="A99" s="2"/>
      <c r="B99" s="2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</row>
    <row r="100" spans="1:13" x14ac:dyDescent="0.35">
      <c r="A100" s="2"/>
      <c r="B100" s="2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</row>
    <row r="101" spans="1:13" x14ac:dyDescent="0.35">
      <c r="A101" s="2"/>
      <c r="B101" s="2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</row>
    <row r="102" spans="1:13" x14ac:dyDescent="0.35">
      <c r="A102" s="2"/>
      <c r="B102" s="2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</row>
    <row r="103" spans="1:13" x14ac:dyDescent="0.35">
      <c r="A103" s="2"/>
      <c r="B103" s="2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</row>
    <row r="104" spans="1:13" x14ac:dyDescent="0.35">
      <c r="A104" s="2"/>
      <c r="B104" s="2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</row>
    <row r="105" spans="1:13" x14ac:dyDescent="0.35">
      <c r="A105" s="2"/>
      <c r="B105" s="2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</row>
    <row r="106" spans="1:13" x14ac:dyDescent="0.35">
      <c r="A106" s="2"/>
      <c r="B106" s="2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</row>
    <row r="107" spans="1:13" x14ac:dyDescent="0.35">
      <c r="A107" s="2"/>
      <c r="B107" s="2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13" x14ac:dyDescent="0.35">
      <c r="A108" s="2"/>
      <c r="B108" s="2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</row>
    <row r="109" spans="1:13" x14ac:dyDescent="0.35">
      <c r="A109" s="2"/>
      <c r="B109" s="2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</row>
    <row r="110" spans="1:13" x14ac:dyDescent="0.35">
      <c r="A110" s="2"/>
      <c r="B110" s="2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</row>
    <row r="111" spans="1:13" x14ac:dyDescent="0.35">
      <c r="A111" s="2"/>
      <c r="B111" s="2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</row>
    <row r="112" spans="1:13" x14ac:dyDescent="0.35">
      <c r="A112" s="2"/>
      <c r="B112" s="2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</row>
    <row r="113" spans="1:13" x14ac:dyDescent="0.35">
      <c r="A113" s="2"/>
      <c r="B113" s="2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</row>
    <row r="114" spans="1:13" x14ac:dyDescent="0.35">
      <c r="A114" s="2"/>
      <c r="B114" s="2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</row>
    <row r="115" spans="1:13" x14ac:dyDescent="0.35">
      <c r="A115" s="2"/>
      <c r="B115" s="2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</row>
    <row r="116" spans="1:13" x14ac:dyDescent="0.35">
      <c r="A116" s="2"/>
      <c r="B116" s="2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</row>
    <row r="117" spans="1:13" x14ac:dyDescent="0.35">
      <c r="A117" s="2"/>
      <c r="B117" s="2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</row>
  </sheetData>
  <mergeCells count="13">
    <mergeCell ref="E61:K61"/>
    <mergeCell ref="E74:K74"/>
    <mergeCell ref="E30:K30"/>
    <mergeCell ref="E43:K43"/>
    <mergeCell ref="F12:H15"/>
    <mergeCell ref="F36:J41"/>
    <mergeCell ref="F67:J72"/>
    <mergeCell ref="E4:K4"/>
    <mergeCell ref="E17:K17"/>
    <mergeCell ref="E1:K1"/>
    <mergeCell ref="H21:J21"/>
    <mergeCell ref="F23:J28"/>
    <mergeCell ref="J5:K5"/>
  </mergeCells>
  <conditionalFormatting sqref="E3:J3">
    <cfRule type="expression" dxfId="11" priority="13">
      <formula>$B$3=COLUMN()</formula>
    </cfRule>
  </conditionalFormatting>
  <conditionalFormatting sqref="D6:D15">
    <cfRule type="expression" dxfId="10" priority="12">
      <formula>$B$6=ROW()</formula>
    </cfRule>
  </conditionalFormatting>
  <conditionalFormatting sqref="F50:J50 F56:J59">
    <cfRule type="expression" dxfId="9" priority="10">
      <formula>MOD(ROW(),2)=0</formula>
    </cfRule>
  </conditionalFormatting>
  <conditionalFormatting sqref="E50 E56:E59">
    <cfRule type="expression" dxfId="8" priority="9">
      <formula>MOD(ROW(),2)=0</formula>
    </cfRule>
  </conditionalFormatting>
  <conditionalFormatting sqref="F51:J51 F54:J55">
    <cfRule type="expression" dxfId="7" priority="8">
      <formula>MOD(ROW(),2)=0</formula>
    </cfRule>
  </conditionalFormatting>
  <conditionalFormatting sqref="E51 E54:E55">
    <cfRule type="expression" dxfId="6" priority="7">
      <formula>MOD(ROW(),2)=0</formula>
    </cfRule>
  </conditionalFormatting>
  <conditionalFormatting sqref="F52:J53">
    <cfRule type="expression" dxfId="5" priority="6">
      <formula>MOD(ROW(),2)=0</formula>
    </cfRule>
  </conditionalFormatting>
  <conditionalFormatting sqref="E52:E53">
    <cfRule type="expression" dxfId="4" priority="5">
      <formula>MOD(ROW(),2)=0</formula>
    </cfRule>
  </conditionalFormatting>
  <conditionalFormatting sqref="J19 F19 H19">
    <cfRule type="containsBlanks" dxfId="3" priority="4">
      <formula>LEN(TRIM(F19))=0</formula>
    </cfRule>
  </conditionalFormatting>
  <conditionalFormatting sqref="F32 H32 J32">
    <cfRule type="containsBlanks" dxfId="2" priority="3">
      <formula>LEN(TRIM(F32))=0</formula>
    </cfRule>
  </conditionalFormatting>
  <conditionalFormatting sqref="F45 F47 H45 J45 J47">
    <cfRule type="containsBlanks" dxfId="1" priority="2">
      <formula>LEN(TRIM(F45))=0</formula>
    </cfRule>
  </conditionalFormatting>
  <conditionalFormatting sqref="F65 F63 J63">
    <cfRule type="containsBlanks" dxfId="0" priority="1">
      <formula>LEN(TRIM(F63))=0</formula>
    </cfRule>
  </conditionalFormatting>
  <dataValidations count="3">
    <dataValidation type="list" allowBlank="1" showInputMessage="1" showErrorMessage="1" sqref="F21" xr:uid="{00000000-0002-0000-0000-000000000000}">
      <formula1>ExpenseTypes</formula1>
    </dataValidation>
    <dataValidation type="list" allowBlank="1" showInputMessage="1" showErrorMessage="1" sqref="F19 F32 F45 F63 F76" xr:uid="{00000000-0002-0000-0000-000001000000}">
      <formula1>Vehicles</formula1>
    </dataValidation>
    <dataValidation type="list" allowBlank="1" showInputMessage="1" showErrorMessage="1" sqref="J47" xr:uid="{00000000-0002-0000-0000-000002000000}">
      <formula1>"Active,Inactive"</formula1>
    </dataValidation>
  </dataValidations>
  <pageMargins left="0.7" right="0.7" top="0.75" bottom="0.75" header="0.3" footer="0.3"/>
  <pageSetup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13"/>
  <sheetViews>
    <sheetView workbookViewId="0">
      <selection activeCell="H5" sqref="H5"/>
    </sheetView>
  </sheetViews>
  <sheetFormatPr defaultRowHeight="14.5" x14ac:dyDescent="0.35"/>
  <cols>
    <col min="1" max="1" width="8" customWidth="1"/>
  </cols>
  <sheetData>
    <row r="1" spans="1:8" x14ac:dyDescent="0.35">
      <c r="A1" s="15" t="s">
        <v>22</v>
      </c>
      <c r="B1" s="15" t="s">
        <v>36</v>
      </c>
      <c r="C1" s="15" t="s">
        <v>37</v>
      </c>
      <c r="D1" s="15" t="s">
        <v>38</v>
      </c>
      <c r="E1" s="15" t="s">
        <v>39</v>
      </c>
      <c r="F1" s="15" t="s">
        <v>40</v>
      </c>
      <c r="G1" s="15" t="s">
        <v>41</v>
      </c>
      <c r="H1" s="16" t="s">
        <v>42</v>
      </c>
    </row>
    <row r="2" spans="1:8" ht="18.5" x14ac:dyDescent="0.45">
      <c r="A2" s="82" t="s">
        <v>1</v>
      </c>
      <c r="B2" s="82"/>
      <c r="C2" s="82"/>
      <c r="D2" s="82"/>
      <c r="E2" s="82"/>
      <c r="F2" s="82"/>
      <c r="G2" s="82"/>
      <c r="H2" s="82"/>
    </row>
    <row r="3" spans="1:8" x14ac:dyDescent="0.35">
      <c r="A3" s="17" t="s">
        <v>21</v>
      </c>
      <c r="B3" s="18" t="s">
        <v>23</v>
      </c>
      <c r="C3" s="18" t="s">
        <v>10</v>
      </c>
      <c r="D3" s="18" t="s">
        <v>11</v>
      </c>
      <c r="E3" s="18" t="s">
        <v>12</v>
      </c>
      <c r="F3" s="18" t="s">
        <v>13</v>
      </c>
      <c r="G3" s="18" t="s">
        <v>19</v>
      </c>
      <c r="H3" s="19" t="s">
        <v>9</v>
      </c>
    </row>
    <row r="4" spans="1:8" x14ac:dyDescent="0.35">
      <c r="A4" s="20" t="s">
        <v>2</v>
      </c>
      <c r="B4" s="21">
        <v>457874</v>
      </c>
      <c r="C4" s="21" t="s">
        <v>33</v>
      </c>
      <c r="D4" s="21" t="s">
        <v>34</v>
      </c>
      <c r="E4" s="21" t="s">
        <v>32</v>
      </c>
      <c r="F4" s="21">
        <v>4</v>
      </c>
      <c r="G4" s="21" t="s">
        <v>35</v>
      </c>
      <c r="H4" s="22" t="s">
        <v>43</v>
      </c>
    </row>
    <row r="5" spans="1:8" x14ac:dyDescent="0.35">
      <c r="A5" s="23" t="s">
        <v>3</v>
      </c>
      <c r="B5" s="24">
        <v>454</v>
      </c>
      <c r="C5" s="24" t="s">
        <v>124</v>
      </c>
      <c r="D5" s="24"/>
      <c r="E5" s="24" t="s">
        <v>32</v>
      </c>
      <c r="F5" s="24">
        <v>7</v>
      </c>
      <c r="G5" s="24" t="s">
        <v>19</v>
      </c>
      <c r="H5" s="25" t="s">
        <v>125</v>
      </c>
    </row>
    <row r="6" spans="1:8" x14ac:dyDescent="0.35">
      <c r="A6" s="20" t="s">
        <v>4</v>
      </c>
      <c r="B6" s="21"/>
      <c r="C6" s="21"/>
      <c r="D6" s="21"/>
      <c r="E6" s="21"/>
      <c r="F6" s="21"/>
      <c r="G6" s="21"/>
      <c r="H6" s="22"/>
    </row>
    <row r="7" spans="1:8" x14ac:dyDescent="0.35">
      <c r="A7" s="23" t="s">
        <v>5</v>
      </c>
      <c r="B7" s="24"/>
      <c r="C7" s="24"/>
      <c r="D7" s="24"/>
      <c r="E7" s="24"/>
      <c r="F7" s="24"/>
      <c r="G7" s="24"/>
      <c r="H7" s="25"/>
    </row>
    <row r="8" spans="1:8" x14ac:dyDescent="0.35">
      <c r="A8" s="20" t="s">
        <v>6</v>
      </c>
      <c r="B8" s="21"/>
      <c r="C8" s="21"/>
      <c r="D8" s="21"/>
      <c r="E8" s="21"/>
      <c r="F8" s="21"/>
      <c r="G8" s="21"/>
      <c r="H8" s="22"/>
    </row>
    <row r="9" spans="1:8" x14ac:dyDescent="0.35">
      <c r="A9" s="23" t="s">
        <v>7</v>
      </c>
      <c r="B9" s="24"/>
      <c r="C9" s="24"/>
      <c r="D9" s="24"/>
      <c r="E9" s="24"/>
      <c r="F9" s="24"/>
      <c r="G9" s="24"/>
      <c r="H9" s="25"/>
    </row>
    <row r="10" spans="1:8" x14ac:dyDescent="0.35">
      <c r="A10" s="20" t="s">
        <v>118</v>
      </c>
      <c r="B10" s="21">
        <v>4544</v>
      </c>
      <c r="C10" s="21" t="s">
        <v>33</v>
      </c>
      <c r="D10" s="21" t="s">
        <v>119</v>
      </c>
      <c r="E10" s="21"/>
      <c r="F10" s="21">
        <v>4</v>
      </c>
      <c r="G10" s="21" t="s">
        <v>120</v>
      </c>
      <c r="H10" s="22" t="s">
        <v>121</v>
      </c>
    </row>
    <row r="11" spans="1:8" x14ac:dyDescent="0.35">
      <c r="A11" s="23" t="s">
        <v>122</v>
      </c>
      <c r="B11" s="24">
        <v>5454</v>
      </c>
      <c r="C11" s="24"/>
      <c r="D11" s="24"/>
      <c r="E11" s="24"/>
      <c r="F11" s="24"/>
      <c r="G11" s="24" t="s">
        <v>123</v>
      </c>
      <c r="H11" s="25" t="s">
        <v>43</v>
      </c>
    </row>
    <row r="12" spans="1:8" x14ac:dyDescent="0.35">
      <c r="A12" s="20"/>
      <c r="B12" s="21"/>
      <c r="C12" s="21"/>
      <c r="D12" s="21"/>
      <c r="E12" s="21"/>
      <c r="F12" s="21"/>
      <c r="G12" s="21"/>
      <c r="H12" s="22"/>
    </row>
    <row r="13" spans="1:8" x14ac:dyDescent="0.35">
      <c r="A13" s="52">
        <f>COLUMN()</f>
        <v>1</v>
      </c>
      <c r="B13" s="52">
        <f>COLUMN()</f>
        <v>2</v>
      </c>
      <c r="C13" s="52">
        <f>COLUMN()</f>
        <v>3</v>
      </c>
      <c r="D13" s="52">
        <f>COLUMN()</f>
        <v>4</v>
      </c>
      <c r="E13" s="52">
        <f>COLUMN()</f>
        <v>5</v>
      </c>
      <c r="F13" s="52">
        <f>COLUMN()</f>
        <v>6</v>
      </c>
      <c r="G13" s="52">
        <f>COLUMN()</f>
        <v>7</v>
      </c>
      <c r="H13" s="52">
        <f>COLUMN()</f>
        <v>8</v>
      </c>
    </row>
  </sheetData>
  <mergeCells count="1">
    <mergeCell ref="A2:H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37"/>
  <sheetViews>
    <sheetView workbookViewId="0">
      <selection activeCell="D21" sqref="D21"/>
    </sheetView>
  </sheetViews>
  <sheetFormatPr defaultRowHeight="14.5" x14ac:dyDescent="0.35"/>
  <cols>
    <col min="2" max="2" width="9.7265625" bestFit="1" customWidth="1"/>
    <col min="5" max="5" width="12.81640625" bestFit="1" customWidth="1"/>
  </cols>
  <sheetData>
    <row r="1" spans="1:6" x14ac:dyDescent="0.35">
      <c r="A1" s="26" t="s">
        <v>50</v>
      </c>
      <c r="B1" s="26" t="s">
        <v>51</v>
      </c>
      <c r="C1" s="26" t="s">
        <v>52</v>
      </c>
      <c r="D1" s="26" t="s">
        <v>53</v>
      </c>
      <c r="E1" s="26" t="s">
        <v>54</v>
      </c>
      <c r="F1" s="26" t="s">
        <v>55</v>
      </c>
    </row>
    <row r="2" spans="1:6" ht="18.5" x14ac:dyDescent="0.45">
      <c r="A2" s="83" t="s">
        <v>48</v>
      </c>
      <c r="B2" s="83"/>
      <c r="C2" s="83"/>
      <c r="D2" s="83"/>
      <c r="E2" s="83"/>
      <c r="F2" s="83"/>
    </row>
    <row r="3" spans="1:6" x14ac:dyDescent="0.35">
      <c r="A3" s="27" t="s">
        <v>18</v>
      </c>
      <c r="B3" s="27" t="s">
        <v>16</v>
      </c>
      <c r="C3" s="27" t="s">
        <v>17</v>
      </c>
      <c r="D3" s="27" t="s">
        <v>20</v>
      </c>
      <c r="E3" s="27" t="s">
        <v>49</v>
      </c>
      <c r="F3" s="27" t="s">
        <v>19</v>
      </c>
    </row>
    <row r="4" spans="1:6" x14ac:dyDescent="0.35">
      <c r="A4" t="s">
        <v>2</v>
      </c>
      <c r="B4" s="28">
        <v>43831</v>
      </c>
      <c r="C4" s="35">
        <v>145</v>
      </c>
      <c r="D4" t="s">
        <v>44</v>
      </c>
      <c r="E4" t="s">
        <v>56</v>
      </c>
      <c r="F4" t="s">
        <v>66</v>
      </c>
    </row>
    <row r="5" spans="1:6" x14ac:dyDescent="0.35">
      <c r="A5" t="s">
        <v>2</v>
      </c>
      <c r="B5" s="28">
        <v>43832</v>
      </c>
      <c r="C5" s="35">
        <v>50</v>
      </c>
      <c r="D5" t="s">
        <v>45</v>
      </c>
      <c r="E5" t="s">
        <v>56</v>
      </c>
      <c r="F5" t="s">
        <v>66</v>
      </c>
    </row>
    <row r="6" spans="1:6" x14ac:dyDescent="0.35">
      <c r="A6" t="s">
        <v>3</v>
      </c>
      <c r="B6" s="28">
        <v>43833</v>
      </c>
      <c r="C6" s="35">
        <v>160</v>
      </c>
      <c r="D6" t="s">
        <v>46</v>
      </c>
      <c r="E6" t="s">
        <v>56</v>
      </c>
      <c r="F6" t="s">
        <v>66</v>
      </c>
    </row>
    <row r="7" spans="1:6" x14ac:dyDescent="0.35">
      <c r="A7" t="s">
        <v>4</v>
      </c>
      <c r="B7" s="28">
        <v>43834</v>
      </c>
      <c r="C7" s="35">
        <v>25</v>
      </c>
      <c r="D7" t="s">
        <v>47</v>
      </c>
      <c r="E7" t="s">
        <v>56</v>
      </c>
      <c r="F7" t="s">
        <v>66</v>
      </c>
    </row>
    <row r="8" spans="1:6" x14ac:dyDescent="0.35">
      <c r="A8" t="s">
        <v>5</v>
      </c>
      <c r="B8" s="28">
        <v>43835</v>
      </c>
      <c r="C8" s="35">
        <v>35</v>
      </c>
      <c r="D8" t="s">
        <v>90</v>
      </c>
      <c r="E8" t="s">
        <v>56</v>
      </c>
      <c r="F8" t="s">
        <v>66</v>
      </c>
    </row>
    <row r="9" spans="1:6" x14ac:dyDescent="0.35">
      <c r="A9" t="s">
        <v>2</v>
      </c>
      <c r="B9" s="28">
        <v>43836</v>
      </c>
      <c r="C9" s="35">
        <v>45</v>
      </c>
      <c r="D9" t="s">
        <v>44</v>
      </c>
      <c r="E9" t="s">
        <v>56</v>
      </c>
      <c r="F9" t="s">
        <v>66</v>
      </c>
    </row>
    <row r="10" spans="1:6" x14ac:dyDescent="0.35">
      <c r="A10" t="s">
        <v>7</v>
      </c>
      <c r="B10" s="28">
        <v>43837</v>
      </c>
      <c r="C10" s="35">
        <v>55</v>
      </c>
      <c r="D10" t="s">
        <v>45</v>
      </c>
      <c r="E10" t="s">
        <v>56</v>
      </c>
      <c r="F10" t="s">
        <v>66</v>
      </c>
    </row>
    <row r="11" spans="1:6" x14ac:dyDescent="0.35">
      <c r="A11" t="s">
        <v>2</v>
      </c>
      <c r="B11" s="28">
        <v>43838</v>
      </c>
      <c r="C11" s="35">
        <v>85</v>
      </c>
      <c r="D11" t="s">
        <v>126</v>
      </c>
      <c r="E11" t="s">
        <v>56</v>
      </c>
      <c r="F11" t="s">
        <v>66</v>
      </c>
    </row>
    <row r="12" spans="1:6" x14ac:dyDescent="0.35">
      <c r="A12" t="s">
        <v>3</v>
      </c>
      <c r="B12" s="28">
        <v>43839</v>
      </c>
      <c r="C12" s="35">
        <v>100</v>
      </c>
      <c r="D12" t="s">
        <v>47</v>
      </c>
      <c r="E12" t="s">
        <v>56</v>
      </c>
      <c r="F12" t="s">
        <v>66</v>
      </c>
    </row>
    <row r="13" spans="1:6" x14ac:dyDescent="0.35">
      <c r="A13" t="s">
        <v>4</v>
      </c>
      <c r="B13" s="28">
        <v>43840</v>
      </c>
      <c r="C13" s="35">
        <v>25</v>
      </c>
      <c r="D13" t="s">
        <v>126</v>
      </c>
      <c r="E13" t="s">
        <v>56</v>
      </c>
      <c r="F13" t="s">
        <v>66</v>
      </c>
    </row>
    <row r="14" spans="1:6" x14ac:dyDescent="0.35">
      <c r="A14" t="s">
        <v>5</v>
      </c>
      <c r="B14" s="28">
        <v>43841</v>
      </c>
      <c r="C14" s="35">
        <v>35</v>
      </c>
      <c r="D14" t="s">
        <v>44</v>
      </c>
      <c r="E14" t="s">
        <v>56</v>
      </c>
      <c r="F14" t="s">
        <v>66</v>
      </c>
    </row>
    <row r="15" spans="1:6" x14ac:dyDescent="0.35">
      <c r="A15" t="s">
        <v>6</v>
      </c>
      <c r="B15" s="28">
        <v>43842</v>
      </c>
      <c r="C15" s="35">
        <v>45</v>
      </c>
      <c r="D15" t="s">
        <v>45</v>
      </c>
      <c r="E15" t="s">
        <v>56</v>
      </c>
      <c r="F15" t="s">
        <v>66</v>
      </c>
    </row>
    <row r="16" spans="1:6" x14ac:dyDescent="0.35">
      <c r="A16" t="s">
        <v>7</v>
      </c>
      <c r="B16" s="28">
        <v>43843</v>
      </c>
      <c r="C16" s="35">
        <v>55</v>
      </c>
      <c r="D16" t="s">
        <v>46</v>
      </c>
      <c r="E16" t="s">
        <v>56</v>
      </c>
      <c r="F16" t="s">
        <v>66</v>
      </c>
    </row>
    <row r="17" spans="1:6" x14ac:dyDescent="0.35">
      <c r="A17" t="s">
        <v>4</v>
      </c>
      <c r="B17" s="28">
        <v>43844</v>
      </c>
      <c r="C17" s="35">
        <v>85</v>
      </c>
      <c r="D17" t="s">
        <v>47</v>
      </c>
      <c r="E17" t="s">
        <v>56</v>
      </c>
      <c r="F17" t="s">
        <v>66</v>
      </c>
    </row>
    <row r="18" spans="1:6" x14ac:dyDescent="0.35">
      <c r="A18" t="s">
        <v>5</v>
      </c>
      <c r="B18" s="28">
        <v>43845</v>
      </c>
      <c r="C18" s="35">
        <v>100</v>
      </c>
      <c r="D18" t="s">
        <v>126</v>
      </c>
      <c r="E18" t="s">
        <v>56</v>
      </c>
      <c r="F18" t="s">
        <v>66</v>
      </c>
    </row>
    <row r="19" spans="1:6" x14ac:dyDescent="0.35">
      <c r="A19" t="s">
        <v>4</v>
      </c>
      <c r="B19" s="28">
        <v>43846</v>
      </c>
      <c r="C19" s="35">
        <v>145</v>
      </c>
      <c r="D19" t="s">
        <v>44</v>
      </c>
      <c r="E19" t="s">
        <v>56</v>
      </c>
      <c r="F19" t="s">
        <v>66</v>
      </c>
    </row>
    <row r="20" spans="1:6" x14ac:dyDescent="0.35">
      <c r="A20" t="s">
        <v>2</v>
      </c>
      <c r="B20" s="28">
        <v>43847</v>
      </c>
      <c r="C20" s="35">
        <v>50</v>
      </c>
      <c r="D20" t="s">
        <v>47</v>
      </c>
      <c r="E20" t="s">
        <v>56</v>
      </c>
      <c r="F20" t="s">
        <v>66</v>
      </c>
    </row>
    <row r="21" spans="1:6" x14ac:dyDescent="0.35">
      <c r="A21" t="s">
        <v>3</v>
      </c>
      <c r="B21" s="28">
        <v>43848</v>
      </c>
      <c r="C21" s="35">
        <v>160</v>
      </c>
      <c r="D21" t="s">
        <v>46</v>
      </c>
      <c r="E21" t="s">
        <v>56</v>
      </c>
      <c r="F21" t="s">
        <v>66</v>
      </c>
    </row>
    <row r="22" spans="1:6" x14ac:dyDescent="0.35">
      <c r="A22" t="s">
        <v>4</v>
      </c>
      <c r="B22" s="28">
        <v>43849</v>
      </c>
      <c r="C22" s="35">
        <v>25</v>
      </c>
      <c r="D22" t="s">
        <v>47</v>
      </c>
      <c r="E22" t="s">
        <v>56</v>
      </c>
      <c r="F22" t="s">
        <v>66</v>
      </c>
    </row>
    <row r="23" spans="1:6" x14ac:dyDescent="0.35">
      <c r="A23" t="s">
        <v>5</v>
      </c>
      <c r="B23" s="28">
        <v>43850</v>
      </c>
      <c r="C23" s="35">
        <v>35</v>
      </c>
      <c r="D23" t="s">
        <v>90</v>
      </c>
      <c r="E23" t="s">
        <v>56</v>
      </c>
      <c r="F23" t="s">
        <v>66</v>
      </c>
    </row>
    <row r="24" spans="1:6" x14ac:dyDescent="0.35">
      <c r="A24" t="s">
        <v>6</v>
      </c>
      <c r="B24" s="28">
        <v>43851</v>
      </c>
      <c r="C24" s="35">
        <v>45</v>
      </c>
      <c r="D24" t="s">
        <v>44</v>
      </c>
      <c r="E24" t="s">
        <v>56</v>
      </c>
      <c r="F24" t="s">
        <v>66</v>
      </c>
    </row>
    <row r="25" spans="1:6" x14ac:dyDescent="0.35">
      <c r="A25" t="s">
        <v>7</v>
      </c>
      <c r="B25" s="28">
        <v>43852</v>
      </c>
      <c r="C25" s="35">
        <v>55</v>
      </c>
      <c r="D25" t="s">
        <v>45</v>
      </c>
      <c r="E25" t="s">
        <v>56</v>
      </c>
      <c r="F25" t="s">
        <v>66</v>
      </c>
    </row>
    <row r="26" spans="1:6" x14ac:dyDescent="0.35">
      <c r="A26" t="s">
        <v>2</v>
      </c>
      <c r="B26" s="28">
        <v>43853</v>
      </c>
      <c r="C26" s="35">
        <v>85</v>
      </c>
      <c r="D26" t="s">
        <v>46</v>
      </c>
      <c r="E26" t="s">
        <v>56</v>
      </c>
      <c r="F26" t="s">
        <v>66</v>
      </c>
    </row>
    <row r="27" spans="1:6" x14ac:dyDescent="0.35">
      <c r="A27" t="s">
        <v>3</v>
      </c>
      <c r="B27" s="28">
        <v>43854</v>
      </c>
      <c r="C27" s="35">
        <v>100</v>
      </c>
      <c r="D27" t="s">
        <v>47</v>
      </c>
      <c r="E27" t="s">
        <v>56</v>
      </c>
      <c r="F27" t="s">
        <v>66</v>
      </c>
    </row>
    <row r="28" spans="1:6" x14ac:dyDescent="0.35">
      <c r="A28" t="s">
        <v>4</v>
      </c>
      <c r="B28" s="28">
        <v>43855</v>
      </c>
      <c r="C28" s="35">
        <v>25</v>
      </c>
      <c r="D28" t="s">
        <v>90</v>
      </c>
      <c r="E28" t="s">
        <v>56</v>
      </c>
      <c r="F28" t="s">
        <v>66</v>
      </c>
    </row>
    <row r="29" spans="1:6" x14ac:dyDescent="0.35">
      <c r="A29" t="s">
        <v>5</v>
      </c>
      <c r="B29" s="28">
        <v>43856</v>
      </c>
      <c r="C29" s="35">
        <v>35</v>
      </c>
      <c r="D29" t="s">
        <v>44</v>
      </c>
      <c r="E29" t="s">
        <v>56</v>
      </c>
      <c r="F29" t="s">
        <v>66</v>
      </c>
    </row>
    <row r="30" spans="1:6" x14ac:dyDescent="0.35">
      <c r="A30" t="s">
        <v>6</v>
      </c>
      <c r="B30" s="28">
        <v>43857</v>
      </c>
      <c r="C30" s="35">
        <v>45</v>
      </c>
      <c r="D30" t="s">
        <v>45</v>
      </c>
      <c r="E30" t="s">
        <v>56</v>
      </c>
      <c r="F30" t="s">
        <v>66</v>
      </c>
    </row>
    <row r="31" spans="1:6" x14ac:dyDescent="0.35">
      <c r="A31" t="s">
        <v>7</v>
      </c>
      <c r="B31" s="28">
        <v>43858</v>
      </c>
      <c r="C31" s="35">
        <v>55</v>
      </c>
      <c r="D31" t="s">
        <v>46</v>
      </c>
      <c r="E31" t="s">
        <v>56</v>
      </c>
      <c r="F31" t="s">
        <v>66</v>
      </c>
    </row>
    <row r="32" spans="1:6" x14ac:dyDescent="0.35">
      <c r="A32" t="s">
        <v>4</v>
      </c>
      <c r="B32" s="28">
        <v>43859</v>
      </c>
      <c r="C32" s="35">
        <v>85</v>
      </c>
      <c r="D32" t="s">
        <v>47</v>
      </c>
      <c r="E32" t="s">
        <v>56</v>
      </c>
      <c r="F32" t="s">
        <v>66</v>
      </c>
    </row>
    <row r="33" spans="1:6" x14ac:dyDescent="0.35">
      <c r="A33" t="s">
        <v>5</v>
      </c>
      <c r="B33" s="28">
        <v>43860</v>
      </c>
      <c r="C33" s="35">
        <v>100</v>
      </c>
      <c r="D33" t="s">
        <v>90</v>
      </c>
      <c r="E33" t="s">
        <v>56</v>
      </c>
      <c r="F33" t="s">
        <v>66</v>
      </c>
    </row>
    <row r="34" spans="1:6" x14ac:dyDescent="0.35">
      <c r="A34" t="s">
        <v>4</v>
      </c>
      <c r="B34" s="28">
        <v>43832</v>
      </c>
      <c r="C34" s="56">
        <v>454</v>
      </c>
      <c r="D34" t="s">
        <v>46</v>
      </c>
      <c r="E34" t="s">
        <v>127</v>
      </c>
      <c r="F34" t="s">
        <v>128</v>
      </c>
    </row>
    <row r="35" spans="1:6" x14ac:dyDescent="0.35">
      <c r="A35" t="s">
        <v>4</v>
      </c>
      <c r="B35" s="28">
        <v>43832</v>
      </c>
      <c r="C35" s="56">
        <v>454</v>
      </c>
      <c r="D35" t="s">
        <v>46</v>
      </c>
      <c r="E35" t="s">
        <v>127</v>
      </c>
      <c r="F35" t="s">
        <v>128</v>
      </c>
    </row>
    <row r="36" spans="1:6" x14ac:dyDescent="0.35">
      <c r="A36" t="s">
        <v>4</v>
      </c>
      <c r="B36" s="28">
        <v>43832</v>
      </c>
      <c r="C36" s="56">
        <v>454</v>
      </c>
      <c r="D36" t="s">
        <v>46</v>
      </c>
      <c r="E36" t="s">
        <v>127</v>
      </c>
      <c r="F36" t="s">
        <v>128</v>
      </c>
    </row>
    <row r="37" spans="1:6" x14ac:dyDescent="0.35">
      <c r="A37" t="s">
        <v>3</v>
      </c>
      <c r="B37" s="28">
        <v>43832</v>
      </c>
      <c r="C37" s="56">
        <v>500</v>
      </c>
      <c r="D37" t="s">
        <v>47</v>
      </c>
      <c r="F37" t="s">
        <v>129</v>
      </c>
    </row>
  </sheetData>
  <mergeCells count="1">
    <mergeCell ref="A2:F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G43"/>
  <sheetViews>
    <sheetView workbookViewId="0">
      <selection activeCell="A40" sqref="A40"/>
    </sheetView>
  </sheetViews>
  <sheetFormatPr defaultRowHeight="14.5" x14ac:dyDescent="0.35"/>
  <cols>
    <col min="2" max="2" width="9.7265625" bestFit="1" customWidth="1"/>
    <col min="6" max="6" width="12" customWidth="1"/>
    <col min="7" max="7" width="14.1796875" bestFit="1" customWidth="1"/>
  </cols>
  <sheetData>
    <row r="1" spans="1:7" x14ac:dyDescent="0.35">
      <c r="A1" s="31" t="s">
        <v>69</v>
      </c>
      <c r="B1" s="31" t="s">
        <v>70</v>
      </c>
      <c r="C1" s="31" t="s">
        <v>57</v>
      </c>
      <c r="D1" s="31" t="s">
        <v>58</v>
      </c>
      <c r="E1" s="31" t="s">
        <v>59</v>
      </c>
      <c r="F1" s="31" t="s">
        <v>60</v>
      </c>
      <c r="G1" s="29" t="s">
        <v>61</v>
      </c>
    </row>
    <row r="2" spans="1:7" ht="18.5" x14ac:dyDescent="0.45">
      <c r="A2" s="84" t="s">
        <v>65</v>
      </c>
      <c r="B2" s="85"/>
      <c r="C2" s="85"/>
      <c r="D2" s="85"/>
      <c r="E2" s="85"/>
      <c r="F2" s="85"/>
      <c r="G2" s="86"/>
    </row>
    <row r="3" spans="1:7" x14ac:dyDescent="0.35">
      <c r="A3" s="30" t="s">
        <v>18</v>
      </c>
      <c r="B3" s="30" t="s">
        <v>16</v>
      </c>
      <c r="C3" s="30" t="s">
        <v>17</v>
      </c>
      <c r="D3" s="30" t="s">
        <v>62</v>
      </c>
      <c r="E3" s="30" t="s">
        <v>63</v>
      </c>
      <c r="F3" s="30" t="s">
        <v>64</v>
      </c>
      <c r="G3" s="30" t="s">
        <v>19</v>
      </c>
    </row>
    <row r="4" spans="1:7" x14ac:dyDescent="0.35">
      <c r="A4" t="s">
        <v>4</v>
      </c>
      <c r="B4" s="28">
        <v>43840</v>
      </c>
      <c r="C4" s="35">
        <v>118</v>
      </c>
      <c r="D4" t="s">
        <v>25</v>
      </c>
      <c r="E4">
        <v>29</v>
      </c>
      <c r="F4" t="s">
        <v>67</v>
      </c>
      <c r="G4" t="s">
        <v>68</v>
      </c>
    </row>
    <row r="5" spans="1:7" x14ac:dyDescent="0.35">
      <c r="A5" t="s">
        <v>2</v>
      </c>
      <c r="B5" s="28">
        <f>B4+5</f>
        <v>43845</v>
      </c>
      <c r="C5" s="35">
        <v>66</v>
      </c>
      <c r="D5" t="s">
        <v>25</v>
      </c>
      <c r="E5">
        <v>21</v>
      </c>
      <c r="F5" t="s">
        <v>67</v>
      </c>
      <c r="G5" t="s">
        <v>68</v>
      </c>
    </row>
    <row r="6" spans="1:7" x14ac:dyDescent="0.35">
      <c r="A6" t="s">
        <v>3</v>
      </c>
      <c r="B6" s="28">
        <f t="shared" ref="B6:B38" si="0">B5+5</f>
        <v>43850</v>
      </c>
      <c r="C6" s="35">
        <v>58</v>
      </c>
      <c r="D6" t="s">
        <v>25</v>
      </c>
      <c r="E6">
        <v>15</v>
      </c>
      <c r="F6" t="s">
        <v>67</v>
      </c>
      <c r="G6" t="s">
        <v>68</v>
      </c>
    </row>
    <row r="7" spans="1:7" x14ac:dyDescent="0.35">
      <c r="A7" t="s">
        <v>4</v>
      </c>
      <c r="B7" s="28">
        <f t="shared" si="0"/>
        <v>43855</v>
      </c>
      <c r="C7" s="35">
        <v>77</v>
      </c>
      <c r="D7" t="s">
        <v>25</v>
      </c>
      <c r="E7">
        <v>22</v>
      </c>
      <c r="F7" t="s">
        <v>67</v>
      </c>
      <c r="G7" t="s">
        <v>68</v>
      </c>
    </row>
    <row r="8" spans="1:7" x14ac:dyDescent="0.35">
      <c r="A8" t="s">
        <v>5</v>
      </c>
      <c r="B8" s="28">
        <f t="shared" si="0"/>
        <v>43860</v>
      </c>
      <c r="C8" s="35">
        <v>124</v>
      </c>
      <c r="D8" t="s">
        <v>25</v>
      </c>
      <c r="E8">
        <v>12</v>
      </c>
      <c r="F8" t="s">
        <v>67</v>
      </c>
      <c r="G8" t="s">
        <v>68</v>
      </c>
    </row>
    <row r="9" spans="1:7" x14ac:dyDescent="0.35">
      <c r="A9" t="s">
        <v>6</v>
      </c>
      <c r="B9" s="28">
        <f t="shared" si="0"/>
        <v>43865</v>
      </c>
      <c r="C9" s="35">
        <v>108</v>
      </c>
      <c r="D9" t="s">
        <v>25</v>
      </c>
      <c r="E9">
        <v>26</v>
      </c>
      <c r="F9" t="s">
        <v>67</v>
      </c>
      <c r="G9" t="s">
        <v>68</v>
      </c>
    </row>
    <row r="10" spans="1:7" x14ac:dyDescent="0.35">
      <c r="A10" t="s">
        <v>7</v>
      </c>
      <c r="B10" s="28">
        <f t="shared" si="0"/>
        <v>43870</v>
      </c>
      <c r="C10" s="35">
        <v>62</v>
      </c>
      <c r="D10" t="s">
        <v>25</v>
      </c>
      <c r="E10">
        <v>17</v>
      </c>
      <c r="F10" t="s">
        <v>67</v>
      </c>
      <c r="G10" t="s">
        <v>68</v>
      </c>
    </row>
    <row r="11" spans="1:7" x14ac:dyDescent="0.35">
      <c r="A11" t="s">
        <v>2</v>
      </c>
      <c r="B11" s="28">
        <f t="shared" si="0"/>
        <v>43875</v>
      </c>
      <c r="C11" s="35">
        <v>89</v>
      </c>
      <c r="D11" t="s">
        <v>25</v>
      </c>
      <c r="E11">
        <v>12</v>
      </c>
      <c r="F11" t="s">
        <v>67</v>
      </c>
      <c r="G11" t="s">
        <v>68</v>
      </c>
    </row>
    <row r="12" spans="1:7" x14ac:dyDescent="0.35">
      <c r="A12" t="s">
        <v>3</v>
      </c>
      <c r="B12" s="28">
        <f t="shared" si="0"/>
        <v>43880</v>
      </c>
      <c r="C12" s="35">
        <v>52</v>
      </c>
      <c r="D12" t="s">
        <v>25</v>
      </c>
      <c r="E12">
        <v>17</v>
      </c>
      <c r="F12" t="s">
        <v>67</v>
      </c>
      <c r="G12" t="s">
        <v>68</v>
      </c>
    </row>
    <row r="13" spans="1:7" x14ac:dyDescent="0.35">
      <c r="A13" t="s">
        <v>4</v>
      </c>
      <c r="B13" s="28">
        <f t="shared" si="0"/>
        <v>43885</v>
      </c>
      <c r="C13" s="35">
        <v>75</v>
      </c>
      <c r="D13" t="s">
        <v>25</v>
      </c>
      <c r="E13">
        <v>11</v>
      </c>
      <c r="F13" t="s">
        <v>67</v>
      </c>
      <c r="G13" t="s">
        <v>68</v>
      </c>
    </row>
    <row r="14" spans="1:7" x14ac:dyDescent="0.35">
      <c r="A14" t="s">
        <v>5</v>
      </c>
      <c r="B14" s="28">
        <f t="shared" si="0"/>
        <v>43890</v>
      </c>
      <c r="C14" s="35">
        <v>94</v>
      </c>
      <c r="D14" t="s">
        <v>25</v>
      </c>
      <c r="E14">
        <v>29</v>
      </c>
      <c r="F14" t="s">
        <v>67</v>
      </c>
      <c r="G14" t="s">
        <v>68</v>
      </c>
    </row>
    <row r="15" spans="1:7" x14ac:dyDescent="0.35">
      <c r="A15" t="s">
        <v>6</v>
      </c>
      <c r="B15" s="28">
        <f t="shared" si="0"/>
        <v>43895</v>
      </c>
      <c r="C15" s="35">
        <v>123</v>
      </c>
      <c r="D15" t="s">
        <v>25</v>
      </c>
      <c r="E15">
        <v>21</v>
      </c>
      <c r="F15" t="s">
        <v>67</v>
      </c>
      <c r="G15" t="s">
        <v>68</v>
      </c>
    </row>
    <row r="16" spans="1:7" x14ac:dyDescent="0.35">
      <c r="A16" t="s">
        <v>7</v>
      </c>
      <c r="B16" s="28">
        <f t="shared" si="0"/>
        <v>43900</v>
      </c>
      <c r="C16" s="35">
        <v>100</v>
      </c>
      <c r="D16" t="s">
        <v>25</v>
      </c>
      <c r="E16">
        <v>10</v>
      </c>
      <c r="F16" t="s">
        <v>67</v>
      </c>
      <c r="G16" t="s">
        <v>68</v>
      </c>
    </row>
    <row r="17" spans="1:7" x14ac:dyDescent="0.35">
      <c r="A17" t="s">
        <v>4</v>
      </c>
      <c r="B17" s="28">
        <f t="shared" si="0"/>
        <v>43905</v>
      </c>
      <c r="C17" s="35">
        <v>95</v>
      </c>
      <c r="D17" t="s">
        <v>25</v>
      </c>
      <c r="E17">
        <v>11</v>
      </c>
      <c r="F17" t="s">
        <v>67</v>
      </c>
      <c r="G17" t="s">
        <v>68</v>
      </c>
    </row>
    <row r="18" spans="1:7" x14ac:dyDescent="0.35">
      <c r="A18" t="s">
        <v>5</v>
      </c>
      <c r="B18" s="28">
        <f t="shared" si="0"/>
        <v>43910</v>
      </c>
      <c r="C18" s="35">
        <v>72</v>
      </c>
      <c r="D18" t="s">
        <v>25</v>
      </c>
      <c r="E18">
        <v>19</v>
      </c>
      <c r="F18" t="s">
        <v>67</v>
      </c>
      <c r="G18" t="s">
        <v>68</v>
      </c>
    </row>
    <row r="19" spans="1:7" x14ac:dyDescent="0.35">
      <c r="A19" t="s">
        <v>3</v>
      </c>
      <c r="B19" s="28">
        <f>B18+5</f>
        <v>43915</v>
      </c>
      <c r="C19" s="35">
        <v>121</v>
      </c>
      <c r="D19" t="s">
        <v>25</v>
      </c>
      <c r="E19">
        <v>30</v>
      </c>
      <c r="F19" t="s">
        <v>67</v>
      </c>
      <c r="G19" t="s">
        <v>68</v>
      </c>
    </row>
    <row r="20" spans="1:7" x14ac:dyDescent="0.35">
      <c r="A20" t="s">
        <v>4</v>
      </c>
      <c r="B20" s="28">
        <f t="shared" si="0"/>
        <v>43920</v>
      </c>
      <c r="C20" s="35">
        <v>92</v>
      </c>
      <c r="D20" t="s">
        <v>25</v>
      </c>
      <c r="E20">
        <v>29</v>
      </c>
      <c r="F20" t="s">
        <v>67</v>
      </c>
      <c r="G20" t="s">
        <v>68</v>
      </c>
    </row>
    <row r="21" spans="1:7" x14ac:dyDescent="0.35">
      <c r="A21" t="s">
        <v>5</v>
      </c>
      <c r="B21" s="28">
        <f t="shared" si="0"/>
        <v>43925</v>
      </c>
      <c r="C21" s="35">
        <v>84</v>
      </c>
      <c r="D21" t="s">
        <v>25</v>
      </c>
      <c r="E21">
        <v>16</v>
      </c>
      <c r="F21" t="s">
        <v>67</v>
      </c>
      <c r="G21" t="s">
        <v>68</v>
      </c>
    </row>
    <row r="22" spans="1:7" x14ac:dyDescent="0.35">
      <c r="A22" t="s">
        <v>6</v>
      </c>
      <c r="B22" s="28">
        <f t="shared" si="0"/>
        <v>43930</v>
      </c>
      <c r="C22" s="35">
        <v>59</v>
      </c>
      <c r="D22" t="s">
        <v>25</v>
      </c>
      <c r="E22">
        <v>10</v>
      </c>
      <c r="F22" t="s">
        <v>67</v>
      </c>
      <c r="G22" t="s">
        <v>68</v>
      </c>
    </row>
    <row r="23" spans="1:7" x14ac:dyDescent="0.35">
      <c r="A23" t="s">
        <v>7</v>
      </c>
      <c r="B23" s="28">
        <f t="shared" si="0"/>
        <v>43935</v>
      </c>
      <c r="C23" s="35">
        <v>89</v>
      </c>
      <c r="D23" t="s">
        <v>25</v>
      </c>
      <c r="E23">
        <v>14</v>
      </c>
      <c r="F23" t="s">
        <v>67</v>
      </c>
      <c r="G23" t="s">
        <v>68</v>
      </c>
    </row>
    <row r="24" spans="1:7" x14ac:dyDescent="0.35">
      <c r="A24" t="s">
        <v>2</v>
      </c>
      <c r="B24" s="28">
        <f t="shared" si="0"/>
        <v>43940</v>
      </c>
      <c r="C24" s="35">
        <v>125</v>
      </c>
      <c r="D24" t="s">
        <v>25</v>
      </c>
      <c r="E24">
        <v>19</v>
      </c>
      <c r="F24" t="s">
        <v>67</v>
      </c>
      <c r="G24" t="s">
        <v>68</v>
      </c>
    </row>
    <row r="25" spans="1:7" x14ac:dyDescent="0.35">
      <c r="A25" t="s">
        <v>3</v>
      </c>
      <c r="B25" s="28">
        <f t="shared" si="0"/>
        <v>43945</v>
      </c>
      <c r="C25" s="35">
        <v>56</v>
      </c>
      <c r="D25" t="s">
        <v>25</v>
      </c>
      <c r="E25">
        <v>25</v>
      </c>
      <c r="F25" t="s">
        <v>67</v>
      </c>
      <c r="G25" t="s">
        <v>68</v>
      </c>
    </row>
    <row r="26" spans="1:7" x14ac:dyDescent="0.35">
      <c r="A26" t="s">
        <v>4</v>
      </c>
      <c r="B26" s="28">
        <f t="shared" si="0"/>
        <v>43950</v>
      </c>
      <c r="C26" s="35">
        <v>96</v>
      </c>
      <c r="D26" t="s">
        <v>25</v>
      </c>
      <c r="E26">
        <v>28</v>
      </c>
      <c r="F26" t="s">
        <v>67</v>
      </c>
      <c r="G26" t="s">
        <v>68</v>
      </c>
    </row>
    <row r="27" spans="1:7" x14ac:dyDescent="0.35">
      <c r="A27" t="s">
        <v>5</v>
      </c>
      <c r="B27" s="28">
        <f t="shared" si="0"/>
        <v>43955</v>
      </c>
      <c r="C27" s="35">
        <v>121</v>
      </c>
      <c r="D27" t="s">
        <v>25</v>
      </c>
      <c r="E27">
        <v>18</v>
      </c>
      <c r="F27" t="s">
        <v>67</v>
      </c>
      <c r="G27" t="s">
        <v>68</v>
      </c>
    </row>
    <row r="28" spans="1:7" x14ac:dyDescent="0.35">
      <c r="A28" t="s">
        <v>6</v>
      </c>
      <c r="B28" s="28">
        <f t="shared" si="0"/>
        <v>43960</v>
      </c>
      <c r="C28" s="35">
        <v>111</v>
      </c>
      <c r="D28" t="s">
        <v>25</v>
      </c>
      <c r="E28">
        <v>25</v>
      </c>
      <c r="F28" t="s">
        <v>67</v>
      </c>
      <c r="G28" t="s">
        <v>68</v>
      </c>
    </row>
    <row r="29" spans="1:7" x14ac:dyDescent="0.35">
      <c r="A29" t="s">
        <v>2</v>
      </c>
      <c r="B29" s="28">
        <f t="shared" si="0"/>
        <v>43965</v>
      </c>
      <c r="C29" s="35">
        <v>124</v>
      </c>
      <c r="D29" t="s">
        <v>25</v>
      </c>
      <c r="E29">
        <v>27</v>
      </c>
      <c r="F29" t="s">
        <v>67</v>
      </c>
      <c r="G29" t="s">
        <v>68</v>
      </c>
    </row>
    <row r="30" spans="1:7" x14ac:dyDescent="0.35">
      <c r="A30" t="s">
        <v>4</v>
      </c>
      <c r="B30" s="28">
        <f t="shared" si="0"/>
        <v>43970</v>
      </c>
      <c r="C30" s="35">
        <v>52</v>
      </c>
      <c r="D30" t="s">
        <v>25</v>
      </c>
      <c r="E30">
        <v>18</v>
      </c>
      <c r="F30" t="s">
        <v>67</v>
      </c>
      <c r="G30" t="s">
        <v>68</v>
      </c>
    </row>
    <row r="31" spans="1:7" x14ac:dyDescent="0.35">
      <c r="A31" t="s">
        <v>5</v>
      </c>
      <c r="B31" s="28">
        <f t="shared" si="0"/>
        <v>43975</v>
      </c>
      <c r="C31" s="35">
        <v>82</v>
      </c>
      <c r="D31" t="s">
        <v>25</v>
      </c>
      <c r="E31">
        <v>19</v>
      </c>
      <c r="F31" t="s">
        <v>67</v>
      </c>
      <c r="G31" t="s">
        <v>68</v>
      </c>
    </row>
    <row r="32" spans="1:7" x14ac:dyDescent="0.35">
      <c r="A32" t="s">
        <v>3</v>
      </c>
      <c r="B32" s="28">
        <f>B31+5</f>
        <v>43980</v>
      </c>
      <c r="C32" s="35">
        <v>90</v>
      </c>
      <c r="D32" t="s">
        <v>25</v>
      </c>
      <c r="E32">
        <v>21</v>
      </c>
      <c r="F32" t="s">
        <v>67</v>
      </c>
      <c r="G32" t="s">
        <v>68</v>
      </c>
    </row>
    <row r="33" spans="1:7" x14ac:dyDescent="0.35">
      <c r="A33" t="s">
        <v>4</v>
      </c>
      <c r="B33" s="28">
        <f t="shared" si="0"/>
        <v>43985</v>
      </c>
      <c r="C33" s="35">
        <v>59</v>
      </c>
      <c r="D33" t="s">
        <v>25</v>
      </c>
      <c r="E33">
        <v>14</v>
      </c>
      <c r="F33" t="s">
        <v>67</v>
      </c>
      <c r="G33" t="s">
        <v>68</v>
      </c>
    </row>
    <row r="34" spans="1:7" x14ac:dyDescent="0.35">
      <c r="A34" t="s">
        <v>5</v>
      </c>
      <c r="B34" s="28">
        <f t="shared" si="0"/>
        <v>43990</v>
      </c>
      <c r="C34" s="35">
        <v>68</v>
      </c>
      <c r="D34" t="s">
        <v>25</v>
      </c>
      <c r="E34">
        <v>16</v>
      </c>
      <c r="F34" t="s">
        <v>67</v>
      </c>
      <c r="G34" t="s">
        <v>68</v>
      </c>
    </row>
    <row r="35" spans="1:7" x14ac:dyDescent="0.35">
      <c r="A35" t="s">
        <v>6</v>
      </c>
      <c r="B35" s="28">
        <f t="shared" si="0"/>
        <v>43995</v>
      </c>
      <c r="C35" s="35">
        <v>110</v>
      </c>
      <c r="D35" t="s">
        <v>25</v>
      </c>
      <c r="E35">
        <v>17</v>
      </c>
      <c r="F35" t="s">
        <v>67</v>
      </c>
      <c r="G35" t="s">
        <v>68</v>
      </c>
    </row>
    <row r="36" spans="1:7" x14ac:dyDescent="0.35">
      <c r="A36" t="s">
        <v>7</v>
      </c>
      <c r="B36" s="28">
        <f t="shared" si="0"/>
        <v>44000</v>
      </c>
      <c r="C36" s="35">
        <v>74</v>
      </c>
      <c r="D36" t="s">
        <v>25</v>
      </c>
      <c r="E36">
        <v>12</v>
      </c>
      <c r="F36" t="s">
        <v>67</v>
      </c>
      <c r="G36" t="s">
        <v>68</v>
      </c>
    </row>
    <row r="37" spans="1:7" x14ac:dyDescent="0.35">
      <c r="A37" t="s">
        <v>2</v>
      </c>
      <c r="B37" s="28">
        <f t="shared" si="0"/>
        <v>44005</v>
      </c>
      <c r="C37" s="35">
        <v>122</v>
      </c>
      <c r="D37" t="s">
        <v>25</v>
      </c>
      <c r="E37">
        <v>26</v>
      </c>
      <c r="F37" t="s">
        <v>67</v>
      </c>
      <c r="G37" t="s">
        <v>68</v>
      </c>
    </row>
    <row r="38" spans="1:7" x14ac:dyDescent="0.35">
      <c r="A38" t="s">
        <v>3</v>
      </c>
      <c r="B38" s="28">
        <f t="shared" si="0"/>
        <v>44010</v>
      </c>
      <c r="C38" s="35">
        <v>72</v>
      </c>
      <c r="D38" t="s">
        <v>25</v>
      </c>
      <c r="E38">
        <v>10</v>
      </c>
      <c r="F38" t="s">
        <v>67</v>
      </c>
      <c r="G38" t="s">
        <v>68</v>
      </c>
    </row>
    <row r="39" spans="1:7" x14ac:dyDescent="0.35">
      <c r="A39" t="s">
        <v>3</v>
      </c>
      <c r="B39" s="28">
        <v>43832</v>
      </c>
      <c r="C39" s="35">
        <v>454</v>
      </c>
      <c r="D39" t="s">
        <v>25</v>
      </c>
      <c r="E39">
        <v>36</v>
      </c>
      <c r="F39" t="s">
        <v>130</v>
      </c>
      <c r="G39" t="s">
        <v>131</v>
      </c>
    </row>
    <row r="40" spans="1:7" x14ac:dyDescent="0.35">
      <c r="A40" t="s">
        <v>118</v>
      </c>
      <c r="B40" s="28">
        <v>43845</v>
      </c>
      <c r="C40" s="35">
        <v>36</v>
      </c>
    </row>
    <row r="41" spans="1:7" x14ac:dyDescent="0.35">
      <c r="C41" s="35"/>
    </row>
    <row r="42" spans="1:7" x14ac:dyDescent="0.35">
      <c r="C42" s="35"/>
    </row>
    <row r="43" spans="1:7" x14ac:dyDescent="0.35">
      <c r="C43" s="35"/>
    </row>
  </sheetData>
  <mergeCells count="1">
    <mergeCell ref="A2:G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R7"/>
  <sheetViews>
    <sheetView workbookViewId="0">
      <selection activeCell="F5" sqref="F5:F6"/>
    </sheetView>
  </sheetViews>
  <sheetFormatPr defaultRowHeight="14.5" x14ac:dyDescent="0.35"/>
  <cols>
    <col min="2" max="2" width="11.1796875" bestFit="1" customWidth="1"/>
    <col min="3" max="3" width="9.81640625" bestFit="1" customWidth="1"/>
    <col min="6" max="6" width="9.7265625" bestFit="1" customWidth="1"/>
    <col min="10" max="10" width="9.81640625" bestFit="1" customWidth="1"/>
    <col min="11" max="11" width="9.81640625" customWidth="1"/>
    <col min="13" max="13" width="11.1796875" bestFit="1" customWidth="1"/>
    <col min="14" max="14" width="9.81640625" bestFit="1" customWidth="1"/>
    <col min="17" max="17" width="9.7265625" bestFit="1" customWidth="1"/>
  </cols>
  <sheetData>
    <row r="1" spans="1:18" x14ac:dyDescent="0.35">
      <c r="A1" s="14" t="s">
        <v>73</v>
      </c>
      <c r="B1" s="14" t="s">
        <v>74</v>
      </c>
      <c r="C1" s="14" t="s">
        <v>75</v>
      </c>
      <c r="D1" s="14" t="s">
        <v>76</v>
      </c>
      <c r="E1" s="14" t="s">
        <v>77</v>
      </c>
      <c r="F1" s="2"/>
      <c r="I1" s="87" t="s">
        <v>80</v>
      </c>
      <c r="J1" s="88"/>
      <c r="L1" s="91" t="s">
        <v>81</v>
      </c>
      <c r="M1" s="92"/>
      <c r="N1" s="92"/>
      <c r="O1" s="92"/>
      <c r="P1" s="92"/>
      <c r="Q1" s="92"/>
      <c r="R1" s="92"/>
    </row>
    <row r="2" spans="1:18" x14ac:dyDescent="0.35">
      <c r="A2" s="89" t="s">
        <v>78</v>
      </c>
      <c r="B2" s="90"/>
      <c r="C2" s="90"/>
      <c r="D2" s="90"/>
      <c r="E2" s="90"/>
      <c r="F2" s="90"/>
      <c r="G2" s="90"/>
      <c r="I2" s="32" t="s">
        <v>71</v>
      </c>
      <c r="J2" s="32" t="s">
        <v>27</v>
      </c>
      <c r="L2" s="33" t="s">
        <v>18</v>
      </c>
      <c r="M2" s="33" t="s">
        <v>21</v>
      </c>
      <c r="N2" s="33" t="s">
        <v>27</v>
      </c>
      <c r="O2" s="33" t="s">
        <v>79</v>
      </c>
      <c r="P2" s="33" t="s">
        <v>71</v>
      </c>
      <c r="Q2" s="33" t="s">
        <v>28</v>
      </c>
      <c r="R2" s="37" t="s">
        <v>91</v>
      </c>
    </row>
    <row r="3" spans="1:18" x14ac:dyDescent="0.35">
      <c r="A3" s="32" t="s">
        <v>18</v>
      </c>
      <c r="B3" s="32" t="s">
        <v>21</v>
      </c>
      <c r="C3" s="32" t="s">
        <v>27</v>
      </c>
      <c r="D3" s="32" t="s">
        <v>79</v>
      </c>
      <c r="E3" s="32" t="s">
        <v>71</v>
      </c>
      <c r="F3" s="32" t="s">
        <v>28</v>
      </c>
      <c r="G3" s="32" t="s">
        <v>91</v>
      </c>
      <c r="I3" s="33" t="s">
        <v>72</v>
      </c>
      <c r="J3" s="36" t="str">
        <f ca="1">"&lt;="&amp;TODAY()</f>
        <v>&lt;=43984</v>
      </c>
      <c r="L3" t="s">
        <v>2</v>
      </c>
      <c r="M3" t="s">
        <v>92</v>
      </c>
      <c r="N3" s="28">
        <v>43862</v>
      </c>
      <c r="O3">
        <v>90</v>
      </c>
      <c r="P3" t="s">
        <v>72</v>
      </c>
      <c r="Q3" s="28"/>
      <c r="R3">
        <v>5</v>
      </c>
    </row>
    <row r="4" spans="1:18" x14ac:dyDescent="0.35">
      <c r="A4" t="s">
        <v>2</v>
      </c>
      <c r="B4" t="s">
        <v>29</v>
      </c>
      <c r="C4" s="28">
        <v>44035</v>
      </c>
      <c r="D4">
        <v>90</v>
      </c>
      <c r="E4" t="s">
        <v>72</v>
      </c>
      <c r="F4" s="28">
        <v>43945</v>
      </c>
      <c r="G4">
        <v>4</v>
      </c>
      <c r="N4" s="28"/>
      <c r="Q4" s="28"/>
    </row>
    <row r="5" spans="1:18" x14ac:dyDescent="0.35">
      <c r="A5" t="s">
        <v>2</v>
      </c>
      <c r="B5" t="s">
        <v>92</v>
      </c>
      <c r="C5" s="28">
        <v>43862</v>
      </c>
      <c r="D5">
        <v>90</v>
      </c>
      <c r="E5" t="s">
        <v>72</v>
      </c>
      <c r="F5" s="28"/>
      <c r="G5">
        <v>5</v>
      </c>
      <c r="N5" s="28"/>
      <c r="Q5" s="28"/>
    </row>
    <row r="6" spans="1:18" x14ac:dyDescent="0.35">
      <c r="A6" t="s">
        <v>2</v>
      </c>
      <c r="B6" t="s">
        <v>93</v>
      </c>
      <c r="C6" s="28">
        <v>44035</v>
      </c>
      <c r="D6">
        <v>90</v>
      </c>
      <c r="E6" t="s">
        <v>72</v>
      </c>
      <c r="F6" s="28">
        <v>43945</v>
      </c>
      <c r="G6">
        <v>6</v>
      </c>
      <c r="N6" s="28"/>
      <c r="Q6" s="28"/>
    </row>
    <row r="7" spans="1:18" x14ac:dyDescent="0.35">
      <c r="A7" t="s">
        <v>4</v>
      </c>
      <c r="B7" t="s">
        <v>132</v>
      </c>
      <c r="C7" s="28">
        <v>44035</v>
      </c>
      <c r="D7">
        <v>90</v>
      </c>
      <c r="E7" t="s">
        <v>72</v>
      </c>
      <c r="F7" s="28">
        <v>43945</v>
      </c>
      <c r="G7">
        <f>ROW()</f>
        <v>7</v>
      </c>
      <c r="N7" s="28"/>
    </row>
  </sheetData>
  <mergeCells count="3">
    <mergeCell ref="I1:J1"/>
    <mergeCell ref="A2:G2"/>
    <mergeCell ref="L1:R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5"/>
  <sheetViews>
    <sheetView workbookViewId="0">
      <selection activeCell="A5" sqref="A5:E5"/>
    </sheetView>
  </sheetViews>
  <sheetFormatPr defaultRowHeight="14.5" x14ac:dyDescent="0.35"/>
  <cols>
    <col min="3" max="3" width="9.7265625" bestFit="1" customWidth="1"/>
  </cols>
  <sheetData>
    <row r="1" spans="1:5" x14ac:dyDescent="0.35">
      <c r="A1" s="14" t="s">
        <v>84</v>
      </c>
      <c r="B1" s="14" t="s">
        <v>85</v>
      </c>
      <c r="C1" s="14" t="s">
        <v>86</v>
      </c>
      <c r="D1" s="14" t="s">
        <v>87</v>
      </c>
      <c r="E1" s="14" t="s">
        <v>88</v>
      </c>
    </row>
    <row r="2" spans="1:5" x14ac:dyDescent="0.35">
      <c r="A2" s="93" t="s">
        <v>89</v>
      </c>
      <c r="B2" s="93"/>
      <c r="C2" s="93"/>
      <c r="D2" s="93"/>
      <c r="E2" s="93"/>
    </row>
    <row r="3" spans="1:5" x14ac:dyDescent="0.35">
      <c r="A3" s="34" t="s">
        <v>18</v>
      </c>
      <c r="B3" s="34" t="s">
        <v>12</v>
      </c>
      <c r="C3" s="34" t="s">
        <v>16</v>
      </c>
      <c r="D3" s="34" t="s">
        <v>83</v>
      </c>
      <c r="E3" s="34" t="s">
        <v>19</v>
      </c>
    </row>
    <row r="4" spans="1:5" x14ac:dyDescent="0.35">
      <c r="A4" t="s">
        <v>3</v>
      </c>
      <c r="B4" t="s">
        <v>82</v>
      </c>
      <c r="C4" s="28">
        <v>43850</v>
      </c>
      <c r="D4">
        <v>151005</v>
      </c>
    </row>
    <row r="5" spans="1:5" x14ac:dyDescent="0.35">
      <c r="A5" t="s">
        <v>4</v>
      </c>
      <c r="B5" t="s">
        <v>133</v>
      </c>
      <c r="C5" s="28">
        <v>43832</v>
      </c>
      <c r="D5">
        <v>1515151</v>
      </c>
      <c r="E5" t="s">
        <v>134</v>
      </c>
    </row>
  </sheetData>
  <mergeCells count="1">
    <mergeCell ref="A2:E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Vehicle Expense Tracker</vt:lpstr>
      <vt:lpstr>Vehicle List</vt:lpstr>
      <vt:lpstr>Expenses List</vt:lpstr>
      <vt:lpstr>Fuel Log</vt:lpstr>
      <vt:lpstr>Reminders</vt:lpstr>
      <vt:lpstr>Meter Tracking</vt:lpstr>
      <vt:lpstr>Reminders!Criteria</vt:lpstr>
      <vt:lpstr>ExpenseTypes</vt:lpstr>
      <vt:lpstr>Reminders!Extract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</dc:creator>
  <cp:lastModifiedBy>ASUS</cp:lastModifiedBy>
  <dcterms:created xsi:type="dcterms:W3CDTF">2020-04-17T03:27:55Z</dcterms:created>
  <dcterms:modified xsi:type="dcterms:W3CDTF">2020-06-02T13:16:07Z</dcterms:modified>
</cp:coreProperties>
</file>