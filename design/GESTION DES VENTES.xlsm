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ThisWorkbook" hidePivotFieldList="1" defaultThemeVersion="124226"/>
  <xr:revisionPtr revIDLastSave="0" documentId="13_ncr:1_{0318544C-B054-4BF9-B4A3-BF902A80FE87}" xr6:coauthVersionLast="46" xr6:coauthVersionMax="46" xr10:uidLastSave="{00000000-0000-0000-0000-000000000000}"/>
  <bookViews>
    <workbookView xWindow="-120" yWindow="-120" windowWidth="20730" windowHeight="11760" firstSheet="2" activeTab="5" xr2:uid="{00000000-000D-0000-FFFF-FFFF00000000}"/>
  </bookViews>
  <sheets>
    <sheet name="ACCEUIL" sheetId="14" r:id="rId1"/>
    <sheet name="SUIVI CLIENT" sheetId="12" r:id="rId2"/>
    <sheet name="SUIVI FOURNISEEUR" sheetId="1" r:id="rId3"/>
    <sheet name="ARTICLES" sheetId="2" r:id="rId4"/>
    <sheet name="CLIENTS" sheetId="3" r:id="rId5"/>
    <sheet name="FOURNISSEURS" sheetId="4" r:id="rId6"/>
    <sheet name="ACHATS" sheetId="5" r:id="rId7"/>
    <sheet name="BON D'ACHAT" sheetId="6" r:id="rId8"/>
    <sheet name="VERSEMENT FOURNISSEURS" sheetId="7" r:id="rId9"/>
    <sheet name="VERSEMENT CLIENTS" sheetId="9" r:id="rId10"/>
    <sheet name="VENTE" sheetId="10" r:id="rId11"/>
    <sheet name="BON VENTE" sheetId="11" r:id="rId12"/>
    <sheet name="CONFIGURATION" sheetId="8" r:id="rId13"/>
  </sheets>
  <definedNames>
    <definedName name="_xlnm._FilterDatabase" localSheetId="6" hidden="1">ACHATS!$B$5:$I$11</definedName>
    <definedName name="_xlnm._FilterDatabase" localSheetId="10" hidden="1">VENTE!$B$5:$J$10</definedName>
    <definedName name="_xlnm._FilterDatabase" localSheetId="9" hidden="1">'VERSEMENT CLIENTS'!$B$5:$N$10</definedName>
    <definedName name="_xlnm._FilterDatabase" localSheetId="8" hidden="1">'VERSEMENT FOURNISSEURS'!$B$5:$M$9</definedName>
    <definedName name="ART" localSheetId="0">TART[[#All],[REF ARTICLE]]</definedName>
    <definedName name="ART" localSheetId="11">TART[[#All],[REF ARTICLE]]</definedName>
    <definedName name="ART" localSheetId="1">TART[[#All],[REF ARTICLE]]</definedName>
    <definedName name="ART">TART[[#All],[REF ARTICLE]]</definedName>
    <definedName name="CLIENTS" localSheetId="0">TCLIENT[[#All],[CLIENT]]</definedName>
    <definedName name="CLIENTS" localSheetId="1">TCLIENT[[#All],[CLIENT]]</definedName>
    <definedName name="CLIENTS">TCLIENT[[#All],[CLIENT]]</definedName>
    <definedName name="_xlnm.Criteria" localSheetId="0">ACCEUIL!$X$1:$Y$2</definedName>
    <definedName name="_xlnm.Criteria" localSheetId="6">ACHATS!$X$1:$Y$2</definedName>
    <definedName name="_xlnm.Criteria" localSheetId="5">FOURNISSEURS!$X$1:$Y$2</definedName>
    <definedName name="_xlnm.Criteria" localSheetId="2">'SUIVI FOURNISEEUR'!$F$5</definedName>
    <definedName name="_xlnm.Criteria" localSheetId="10">VENTE!$X$1:$Y$2</definedName>
    <definedName name="_xlnm.Criteria" localSheetId="9">'VERSEMENT CLIENTS'!$W$1:$W$2</definedName>
    <definedName name="_xlnm.Criteria" localSheetId="8">'VERSEMENT FOURNISSEURS'!$X$1:$X$2</definedName>
    <definedName name="_xlnm.Extract" localSheetId="0">ACCEUIL!$AA$1:$AI$1</definedName>
    <definedName name="_xlnm.Extract" localSheetId="6">ACHATS!$AA$1:$AH$1</definedName>
    <definedName name="_xlnm.Extract" localSheetId="5">FOURNISSEURS!$AA$1:$AI$1</definedName>
    <definedName name="_xlnm.Extract" localSheetId="2">'SUIVI FOURNISEEUR'!$B$21:$I$22</definedName>
    <definedName name="_xlnm.Extract" localSheetId="10">VENTE!$AA$1:$AI$1</definedName>
    <definedName name="_xlnm.Extract" localSheetId="9">'VERSEMENT CLIENTS'!$AA$1:$AM$1</definedName>
    <definedName name="_xlnm.Extract" localSheetId="8">'VERSEMENT FOURNISSEURS'!$AA$1:$AL$1</definedName>
    <definedName name="FOURNISSEURS" localSheetId="0">TFOURNISSEUR[[#All],[FOURNISSEUR]]</definedName>
    <definedName name="FOURNISSEURS" localSheetId="1">TFOURNISSEUR[[#All],[FOURNISSEUR]]</definedName>
    <definedName name="FOURNISSEURS">TFOURNISSEUR[[#All],[FOURNISSEUR]]</definedName>
    <definedName name="NACHT" localSheetId="0">TACHAT[N° D''ACHAT]</definedName>
    <definedName name="NACHT" localSheetId="11">TACHAT[N° D''ACHAT]</definedName>
    <definedName name="NACHT" localSheetId="1">TACHAT[N° D''ACHAT]</definedName>
    <definedName name="NACHT">TACHAT[N° D''ACHAT]</definedName>
    <definedName name="NVT" localSheetId="0">TVENTE[[#All],[N° DE VENTE]]</definedName>
    <definedName name="NVT">TVENTE[[#All],[N° DE VENTE]]</definedName>
    <definedName name="_xlnm.Print_Area" localSheetId="7">'BON D''ACHAT'!$B$1:$G$34</definedName>
    <definedName name="_xlnm.Print_Area" localSheetId="11">'BON VENTE'!$B$1:$G$34</definedName>
    <definedName name="RA" localSheetId="0">SUMIFS(#REF!,TVENTE[CLIENT],VENTE!C1048571)</definedName>
    <definedName name="RA" localSheetId="1">SUMIFS(#REF!,TVENTE[CLIENT],VENTE!C1048571)</definedName>
    <definedName name="RA">SUMIFS(#REF!,TVENTE[CLIENT],VENTE!C1048571)</definedName>
    <definedName name="RCLT">OFFSET('VERSEMENT CLIENTS'!$AA$2,0,0,COUNTA('VERSEMENT CLIENTS'!$AA$2:$AA$1048500),13)</definedName>
    <definedName name="RECH">OFFSET(ACHATS!$AA$2,0,0,COUNTA(ACHATS!$AA$2:$AA$1048500),8)</definedName>
    <definedName name="RECHV">OFFSET(VENTE!$AA$2,0,0,COUNTA(VENTE!$AA$2:$AA$1048500),9)</definedName>
    <definedName name="RO" localSheetId="0">SUMIFS(#REF!,TVENTE[CLIENT],VENTE!C1048570)</definedName>
    <definedName name="RO" localSheetId="1">SUMIFS(#REF!,TVENTE[CLIENT],VENTE!C1048570)</definedName>
    <definedName name="RO">SUMIFS(#REF!,TVENTE[CLIENT],VENTE!C1048570)</definedName>
    <definedName name="RVF">OFFSET('VERSEMENT FOURNISSEURS'!$AA$2,0,0,COUNTA('VERSEMENT FOURNISSEURS'!$AA$2:$AA$1048500),12)</definedName>
    <definedName name="WA">CONFIGURATION!$N$1:$N$48</definedName>
  </definedNames>
  <calcPr calcId="191029"/>
</workbook>
</file>

<file path=xl/calcChain.xml><?xml version="1.0" encoding="utf-8"?>
<calcChain xmlns="http://schemas.openxmlformats.org/spreadsheetml/2006/main">
  <c r="G6" i="6" l="1"/>
  <c r="V3" i="5" l="1"/>
  <c r="B2" i="5"/>
  <c r="A2" i="5"/>
  <c r="B2" i="10"/>
  <c r="A2" i="10"/>
  <c r="V3" i="7" l="1"/>
  <c r="L10" i="9"/>
  <c r="M10" i="9" s="1"/>
  <c r="N10" i="9"/>
  <c r="L9" i="7"/>
  <c r="M9" i="7" s="1"/>
  <c r="V3" i="9" l="1"/>
  <c r="N6" i="9"/>
  <c r="N7" i="9"/>
  <c r="N8" i="9"/>
  <c r="N9" i="9"/>
  <c r="H10" i="10" l="1" a="1"/>
  <c r="H10" i="10" s="1"/>
  <c r="J10" i="10"/>
  <c r="H9" i="10" a="1"/>
  <c r="H9" i="10" s="1"/>
  <c r="J9" i="10"/>
  <c r="H8" i="10" a="1"/>
  <c r="H8" i="10" s="1"/>
  <c r="J8" i="10"/>
  <c r="L8" i="7" l="1"/>
  <c r="M8" i="7" s="1"/>
  <c r="L9" i="9"/>
  <c r="M9" i="9" s="1"/>
  <c r="J6" i="4"/>
  <c r="L7" i="7"/>
  <c r="M7" i="7" s="1"/>
  <c r="J8" i="4" s="1"/>
  <c r="L6" i="4"/>
  <c r="L3" i="4" s="1"/>
  <c r="L7" i="4"/>
  <c r="L8" i="4"/>
  <c r="K6" i="4"/>
  <c r="K3" i="4" s="1"/>
  <c r="K7" i="4"/>
  <c r="K8" i="4"/>
  <c r="I6" i="4"/>
  <c r="I7" i="4"/>
  <c r="I8" i="4"/>
  <c r="H6" i="4"/>
  <c r="H7" i="4"/>
  <c r="H8" i="4"/>
  <c r="G6" i="4"/>
  <c r="G7" i="4"/>
  <c r="G8" i="4"/>
  <c r="F8" i="4"/>
  <c r="G3" i="4" l="1"/>
  <c r="M6" i="4"/>
  <c r="M8" i="4"/>
  <c r="I3" i="4"/>
  <c r="N8" i="4"/>
  <c r="H3" i="4"/>
  <c r="H11" i="5"/>
  <c r="H10" i="5"/>
  <c r="H7" i="10" a="1"/>
  <c r="H7" i="10" s="1"/>
  <c r="J7" i="10"/>
  <c r="J6" i="10"/>
  <c r="H6" i="10" a="1"/>
  <c r="H6" i="10" s="1"/>
  <c r="E6" i="2"/>
  <c r="E7" i="2"/>
  <c r="E8" i="2"/>
  <c r="E9" i="2"/>
  <c r="E10" i="2"/>
  <c r="E11" i="2"/>
  <c r="E12" i="2"/>
  <c r="E13" i="2"/>
  <c r="E14" i="2"/>
  <c r="E15" i="2"/>
  <c r="E16" i="2"/>
  <c r="L6" i="7"/>
  <c r="M6" i="7" s="1"/>
  <c r="J7" i="4" s="1"/>
  <c r="J3" i="4" s="1"/>
  <c r="M7" i="4" l="1"/>
  <c r="M3" i="4"/>
  <c r="L8" i="9"/>
  <c r="M8" i="9" s="1"/>
  <c r="L7" i="9"/>
  <c r="M7" i="9" s="1"/>
  <c r="L6" i="9"/>
  <c r="M6" i="9" s="1"/>
  <c r="D7" i="8"/>
  <c r="G7" i="8" s="1"/>
  <c r="C5" i="12" l="1"/>
  <c r="L7" i="3"/>
  <c r="L8" i="3"/>
  <c r="L9" i="3"/>
  <c r="L6" i="3"/>
  <c r="K7" i="3"/>
  <c r="K8" i="3"/>
  <c r="K9" i="3"/>
  <c r="K6" i="3"/>
  <c r="J7" i="3"/>
  <c r="J8" i="3"/>
  <c r="J9" i="3"/>
  <c r="J6" i="3"/>
  <c r="I7" i="3"/>
  <c r="I8" i="3"/>
  <c r="I9" i="3"/>
  <c r="I6" i="3"/>
  <c r="H7" i="3"/>
  <c r="H8" i="3"/>
  <c r="H9" i="3"/>
  <c r="H6" i="3"/>
  <c r="F6" i="3"/>
  <c r="N6" i="3" l="1"/>
  <c r="H3" i="3"/>
  <c r="I3" i="3"/>
  <c r="J3" i="3"/>
  <c r="K3" i="3"/>
  <c r="L3" i="3"/>
  <c r="H9" i="5"/>
  <c r="F6" i="4" s="1"/>
  <c r="H8" i="5"/>
  <c r="H7" i="5"/>
  <c r="H6" i="5"/>
  <c r="F9" i="3"/>
  <c r="N9" i="3" s="1"/>
  <c r="G9" i="3"/>
  <c r="M9" i="3" s="1"/>
  <c r="G6" i="3"/>
  <c r="M6" i="3" s="1"/>
  <c r="G7" i="3"/>
  <c r="M7" i="3" s="1"/>
  <c r="G8" i="3"/>
  <c r="M8" i="3" s="1"/>
  <c r="N6" i="4" l="1"/>
  <c r="F7" i="4"/>
  <c r="N7" i="4" s="1"/>
  <c r="G3" i="3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13" i="11" a="1"/>
  <c r="C13" i="11" s="1"/>
  <c r="N3" i="4" l="1"/>
  <c r="F3" i="4"/>
  <c r="F7" i="3"/>
  <c r="N7" i="3" s="1"/>
  <c r="F8" i="3" l="1"/>
  <c r="F3" i="3" l="1" a="1"/>
  <c r="F3" i="3" s="1"/>
  <c r="N8" i="3"/>
  <c r="F14" i="11" a="1"/>
  <c r="F14" i="11" s="1"/>
  <c r="F15" i="11" a="1"/>
  <c r="F15" i="11" s="1"/>
  <c r="F16" i="11" a="1"/>
  <c r="F16" i="11" s="1"/>
  <c r="F17" i="11" a="1"/>
  <c r="F17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13" i="11" a="1"/>
  <c r="F13" i="11" s="1"/>
  <c r="E14" i="11" a="1"/>
  <c r="E14" i="11" s="1"/>
  <c r="E15" i="11" a="1"/>
  <c r="E15" i="11" s="1"/>
  <c r="E16" i="11" a="1"/>
  <c r="E16" i="11" s="1"/>
  <c r="E17" i="11" a="1"/>
  <c r="E17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13" i="11" a="1"/>
  <c r="E13" i="11" s="1"/>
  <c r="D14" i="11" a="1"/>
  <c r="D14" i="11" s="1"/>
  <c r="D15" i="11" a="1"/>
  <c r="D15" i="11" s="1"/>
  <c r="D16" i="11" a="1"/>
  <c r="D16" i="11" s="1"/>
  <c r="D17" i="11" a="1"/>
  <c r="D17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13" i="11" a="1"/>
  <c r="D13" i="11" s="1"/>
  <c r="B14" i="11"/>
  <c r="B15" i="11"/>
  <c r="B16" i="11"/>
  <c r="B17" i="11"/>
  <c r="B18" i="11"/>
  <c r="B20" i="11"/>
  <c r="B21" i="11"/>
  <c r="B22" i="11"/>
  <c r="B23" i="11"/>
  <c r="B24" i="11"/>
  <c r="B25" i="11"/>
  <c r="B13" i="11"/>
  <c r="G6" i="11"/>
  <c r="D8" i="11"/>
  <c r="D9" i="11" s="1"/>
  <c r="F16" i="2" l="1"/>
  <c r="H16" i="2" a="1"/>
  <c r="H16" i="2" s="1"/>
  <c r="G18" i="11"/>
  <c r="G17" i="11"/>
  <c r="G16" i="11"/>
  <c r="G15" i="11"/>
  <c r="G13" i="11"/>
  <c r="D11" i="11"/>
  <c r="D10" i="11"/>
  <c r="G14" i="11"/>
  <c r="G19" i="11"/>
  <c r="G20" i="11"/>
  <c r="G21" i="11"/>
  <c r="G22" i="11"/>
  <c r="G23" i="11"/>
  <c r="G24" i="11"/>
  <c r="G25" i="11"/>
  <c r="G27" i="11" l="1"/>
  <c r="G28" i="11" s="1"/>
  <c r="G29" i="11" s="1"/>
  <c r="D6" i="8"/>
  <c r="G6" i="8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D5" i="8"/>
  <c r="G5" i="8" s="1"/>
  <c r="C5" i="1" s="1"/>
  <c r="C14" i="6" l="1" a="1"/>
  <c r="C14" i="6" s="1"/>
  <c r="B14" i="6" s="1"/>
  <c r="C15" i="6" a="1"/>
  <c r="C15" i="6" s="1"/>
  <c r="B15" i="6" s="1"/>
  <c r="C16" i="6" a="1"/>
  <c r="C16" i="6" s="1"/>
  <c r="B16" i="6" s="1"/>
  <c r="C17" i="6" a="1"/>
  <c r="C17" i="6" s="1"/>
  <c r="B17" i="6" s="1"/>
  <c r="C18" i="6" a="1"/>
  <c r="C18" i="6" s="1"/>
  <c r="B18" i="6" s="1"/>
  <c r="C19" i="6" a="1"/>
  <c r="C19" i="6" s="1"/>
  <c r="C20" i="6" a="1"/>
  <c r="C20" i="6" s="1"/>
  <c r="B20" i="6" s="1"/>
  <c r="C21" i="6" a="1"/>
  <c r="C21" i="6" s="1"/>
  <c r="B21" i="6" s="1"/>
  <c r="C22" i="6" a="1"/>
  <c r="C22" i="6" s="1"/>
  <c r="B22" i="6" s="1"/>
  <c r="C23" i="6" a="1"/>
  <c r="C23" i="6" s="1"/>
  <c r="B23" i="6" s="1"/>
  <c r="C24" i="6" a="1"/>
  <c r="C24" i="6" s="1"/>
  <c r="B24" i="6" s="1"/>
  <c r="C25" i="6" a="1"/>
  <c r="C25" i="6" s="1"/>
  <c r="B25" i="6" s="1"/>
  <c r="D8" i="6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E14" i="6" a="1"/>
  <c r="E14" i="6" s="1"/>
  <c r="E15" i="6" a="1"/>
  <c r="E15" i="6" s="1"/>
  <c r="G15" i="6" s="1"/>
  <c r="E16" i="6" a="1"/>
  <c r="E16" i="6" s="1"/>
  <c r="E17" i="6" a="1"/>
  <c r="E17" i="6" s="1"/>
  <c r="E18" i="6" a="1"/>
  <c r="E18" i="6" s="1"/>
  <c r="E19" i="6" a="1"/>
  <c r="E19" i="6" s="1"/>
  <c r="G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D14" i="6" a="1"/>
  <c r="D14" i="6" s="1"/>
  <c r="D15" i="6" a="1"/>
  <c r="D15" i="6" s="1"/>
  <c r="D16" i="6" a="1"/>
  <c r="D16" i="6" s="1"/>
  <c r="D17" i="6" a="1"/>
  <c r="D17" i="6" s="1"/>
  <c r="D18" i="6" a="1"/>
  <c r="D18" i="6" s="1"/>
  <c r="D19" i="6" a="1"/>
  <c r="D19" i="6" s="1"/>
  <c r="D20" i="6" a="1"/>
  <c r="D20" i="6" s="1"/>
  <c r="D21" i="6" a="1"/>
  <c r="D21" i="6" s="1"/>
  <c r="D22" i="6" a="1"/>
  <c r="D22" i="6" s="1"/>
  <c r="D23" i="6" a="1"/>
  <c r="D23" i="6" s="1"/>
  <c r="D24" i="6" a="1"/>
  <c r="D24" i="6" s="1"/>
  <c r="D25" i="6" a="1"/>
  <c r="D25" i="6" s="1"/>
  <c r="F13" i="6" a="1"/>
  <c r="F13" i="6" s="1"/>
  <c r="E13" i="6" a="1"/>
  <c r="E13" i="6" s="1"/>
  <c r="D13" i="6" a="1"/>
  <c r="D13" i="6" s="1"/>
  <c r="C13" i="6" a="1"/>
  <c r="C13" i="6" s="1"/>
  <c r="B13" i="6" s="1"/>
  <c r="G18" i="6" l="1"/>
  <c r="G20" i="6"/>
  <c r="G21" i="6"/>
  <c r="G23" i="6"/>
  <c r="G17" i="6"/>
  <c r="G22" i="6"/>
  <c r="G24" i="6"/>
  <c r="G25" i="6"/>
  <c r="G14" i="6"/>
  <c r="G16" i="6"/>
  <c r="D10" i="6"/>
  <c r="D11" i="6"/>
  <c r="D9" i="6"/>
  <c r="G13" i="6"/>
  <c r="D4" i="8"/>
  <c r="G4" i="8" s="1"/>
  <c r="G27" i="6" l="1"/>
  <c r="G28" i="6" s="1"/>
  <c r="G29" i="6" s="1"/>
  <c r="F15" i="2"/>
  <c r="F14" i="2"/>
  <c r="F13" i="2"/>
  <c r="F12" i="2"/>
  <c r="F11" i="2"/>
  <c r="F10" i="2"/>
  <c r="F9" i="2"/>
  <c r="F8" i="2"/>
  <c r="F7" i="2"/>
  <c r="F6" i="2" l="1"/>
</calcChain>
</file>

<file path=xl/sharedStrings.xml><?xml version="1.0" encoding="utf-8"?>
<sst xmlns="http://schemas.openxmlformats.org/spreadsheetml/2006/main" count="524" uniqueCount="205">
  <si>
    <t>CLIENT</t>
  </si>
  <si>
    <t>FOURNISSEUR</t>
  </si>
  <si>
    <t>VILLE</t>
  </si>
  <si>
    <t>WILAYA</t>
  </si>
  <si>
    <t>TELEPHONE</t>
  </si>
  <si>
    <t>NOUFEL</t>
  </si>
  <si>
    <t>CHERAGA</t>
  </si>
  <si>
    <t>ALGER</t>
  </si>
  <si>
    <t>FAYCEL 34</t>
  </si>
  <si>
    <t>BBA</t>
  </si>
  <si>
    <t>0661252532</t>
  </si>
  <si>
    <t>REF ARTICLE</t>
  </si>
  <si>
    <t>DESIGNATION</t>
  </si>
  <si>
    <t>PRIX U</t>
  </si>
  <si>
    <t>QTE STOCK</t>
  </si>
  <si>
    <t>VALEUR STOCK</t>
  </si>
  <si>
    <t>STOCK MIN</t>
  </si>
  <si>
    <t>ALERT</t>
  </si>
  <si>
    <t>MSS</t>
  </si>
  <si>
    <t>MSAYES SAMIR</t>
  </si>
  <si>
    <t>500</t>
  </si>
  <si>
    <t>MN</t>
  </si>
  <si>
    <t>MASSIF NOUFEL</t>
  </si>
  <si>
    <t>700</t>
  </si>
  <si>
    <t>MK</t>
  </si>
  <si>
    <t>MASSIF KAMEL</t>
  </si>
  <si>
    <t>600</t>
  </si>
  <si>
    <t>DH</t>
  </si>
  <si>
    <t>DUO EL HADJ</t>
  </si>
  <si>
    <t>LN</t>
  </si>
  <si>
    <t>LES NOMS</t>
  </si>
  <si>
    <t>IMP B</t>
  </si>
  <si>
    <t>IMPORTATION BATAIL</t>
  </si>
  <si>
    <t>1250</t>
  </si>
  <si>
    <t>IMP L</t>
  </si>
  <si>
    <t>IMPORTATION LUX</t>
  </si>
  <si>
    <t>1350</t>
  </si>
  <si>
    <t>IMP EXT L</t>
  </si>
  <si>
    <t>IMPORTATION EXTRAT LUX</t>
  </si>
  <si>
    <t>1800</t>
  </si>
  <si>
    <t>MB</t>
  </si>
  <si>
    <t>MASSIF BENOUR</t>
  </si>
  <si>
    <t>650</t>
  </si>
  <si>
    <t>PR</t>
  </si>
  <si>
    <t>PARURE</t>
  </si>
  <si>
    <t>950</t>
  </si>
  <si>
    <t>N° ORDRE</t>
  </si>
  <si>
    <t>-</t>
  </si>
  <si>
    <t>ACHAT</t>
  </si>
  <si>
    <t>ACHAT-</t>
  </si>
  <si>
    <t>N° D'ACHAT</t>
  </si>
  <si>
    <t>DATE</t>
  </si>
  <si>
    <t>N° ART</t>
  </si>
  <si>
    <t>NOM ART</t>
  </si>
  <si>
    <t>QTE</t>
  </si>
  <si>
    <t>PU</t>
  </si>
  <si>
    <t>TOTAL</t>
  </si>
  <si>
    <t>DATE  :</t>
  </si>
  <si>
    <t>N° D'ACHAT:</t>
  </si>
  <si>
    <t>N° ARTICLE</t>
  </si>
  <si>
    <t>DESSIGNATION</t>
  </si>
  <si>
    <t>P.U</t>
  </si>
  <si>
    <t>TOTAL HT</t>
  </si>
  <si>
    <t>TVA</t>
  </si>
  <si>
    <t>TOTAL TTC</t>
  </si>
  <si>
    <t>FOURNISSEUR:</t>
  </si>
  <si>
    <t xml:space="preserve">NABIL BOUZIAN VENTE D'OR </t>
  </si>
  <si>
    <t>KAMEL</t>
  </si>
  <si>
    <t>BENOUR</t>
  </si>
  <si>
    <t>WIDGET</t>
  </si>
  <si>
    <t>VENTE</t>
  </si>
  <si>
    <t>VENTE-</t>
  </si>
  <si>
    <t>WIDGET 1</t>
  </si>
  <si>
    <t>WIDGET 2</t>
  </si>
  <si>
    <t>WIDGET 3</t>
  </si>
  <si>
    <t>WIDGET 4</t>
  </si>
  <si>
    <t>16 ALGER</t>
  </si>
  <si>
    <t>25 CONSTANTINE</t>
  </si>
  <si>
    <t>FARES</t>
  </si>
  <si>
    <t>EL KHROUB</t>
  </si>
  <si>
    <t>0560121491</t>
  </si>
  <si>
    <t>NASREDDINE</t>
  </si>
  <si>
    <t>BAB EL OUD</t>
  </si>
  <si>
    <t>0550232363</t>
  </si>
  <si>
    <t>BOUZAREAH</t>
  </si>
  <si>
    <t>0661212133</t>
  </si>
  <si>
    <t>0550478795</t>
  </si>
  <si>
    <t>N° DE VENTE</t>
  </si>
  <si>
    <t>DESIGNATION D'ARTICLE</t>
  </si>
  <si>
    <t>FONTE</t>
  </si>
  <si>
    <t>NET 750</t>
  </si>
  <si>
    <t>ECART</t>
  </si>
  <si>
    <t>N° DE VENTE:</t>
  </si>
  <si>
    <t>PK</t>
  </si>
  <si>
    <t>PARURE KAMEL</t>
  </si>
  <si>
    <t>150</t>
  </si>
  <si>
    <t>RETOUR OR</t>
  </si>
  <si>
    <t>RETOUR ARGENT</t>
  </si>
  <si>
    <t>N° LIGNE</t>
  </si>
  <si>
    <t>Adrar</t>
  </si>
  <si>
    <t>Chlef</t>
  </si>
  <si>
    <t>Laghouat</t>
  </si>
  <si>
    <t>Oum El Bouaghi</t>
  </si>
  <si>
    <t>Batna</t>
  </si>
  <si>
    <t>Béjaïa</t>
  </si>
  <si>
    <t>Biskra</t>
  </si>
  <si>
    <t>Béchar</t>
  </si>
  <si>
    <t>Blida</t>
  </si>
  <si>
    <t>Bouira</t>
  </si>
  <si>
    <t>Tamanrasset</t>
  </si>
  <si>
    <t>Tébessa</t>
  </si>
  <si>
    <t>Tlemcen</t>
  </si>
  <si>
    <t>Tiaret</t>
  </si>
  <si>
    <t>Tizi Ouzou</t>
  </si>
  <si>
    <t>Alger</t>
  </si>
  <si>
    <t>Djelfa</t>
  </si>
  <si>
    <t>Jijel</t>
  </si>
  <si>
    <t>Sétif</t>
  </si>
  <si>
    <t>Saïda</t>
  </si>
  <si>
    <t>Skikda</t>
  </si>
  <si>
    <t>Sidi Bel Abbès</t>
  </si>
  <si>
    <t>Annaba</t>
  </si>
  <si>
    <t>Guelma</t>
  </si>
  <si>
    <t>Constantine</t>
  </si>
  <si>
    <t>Médéa</t>
  </si>
  <si>
    <t>Mostaganem</t>
  </si>
  <si>
    <t>M'Sila</t>
  </si>
  <si>
    <t>Mascara</t>
  </si>
  <si>
    <t>Ouargla</t>
  </si>
  <si>
    <t>Oran</t>
  </si>
  <si>
    <t>El Bayadh</t>
  </si>
  <si>
    <t>Illizi</t>
  </si>
  <si>
    <t>Bordj Bou Arreridj</t>
  </si>
  <si>
    <t>Boumerdès</t>
  </si>
  <si>
    <t>El Tarf</t>
  </si>
  <si>
    <t>Tindouf</t>
  </si>
  <si>
    <t>Tissemsilt</t>
  </si>
  <si>
    <t>El Oued</t>
  </si>
  <si>
    <t>Khenchela</t>
  </si>
  <si>
    <t>Souk Ahras</t>
  </si>
  <si>
    <t>Tipaza</t>
  </si>
  <si>
    <t>Mila</t>
  </si>
  <si>
    <t>Aïn Defla</t>
  </si>
  <si>
    <t>Naâma</t>
  </si>
  <si>
    <t>Aïn Témouchent</t>
  </si>
  <si>
    <t>Ghardaïa</t>
  </si>
  <si>
    <t>Relizane</t>
  </si>
  <si>
    <t>CHIFFRE D'AFFAIRE</t>
  </si>
  <si>
    <t>TOTAL VA</t>
  </si>
  <si>
    <t>TOTAL VO</t>
  </si>
  <si>
    <t>TOTAL OR</t>
  </si>
  <si>
    <t>TOTAL PERTE</t>
  </si>
  <si>
    <t>TOTAL RO</t>
  </si>
  <si>
    <t>TOTAL RA</t>
  </si>
  <si>
    <t>zahir19</t>
  </si>
  <si>
    <t>steif</t>
  </si>
  <si>
    <t>002135658</t>
  </si>
  <si>
    <t>N° VERSEMENT</t>
  </si>
  <si>
    <t>VERSEMENT OR</t>
  </si>
  <si>
    <t>OR V</t>
  </si>
  <si>
    <t xml:space="preserve">TITRE </t>
  </si>
  <si>
    <t>VERSEMENT ARGENT</t>
  </si>
  <si>
    <t>ACHAT-2020-1</t>
  </si>
  <si>
    <t>ACHAT-2020-2</t>
  </si>
  <si>
    <t>VERSEMENT F</t>
  </si>
  <si>
    <t>VERS-FR-</t>
  </si>
  <si>
    <t>VERSEMENT C</t>
  </si>
  <si>
    <t>VERS-CLT-</t>
  </si>
  <si>
    <t>N° DU VERSEMENT :</t>
  </si>
  <si>
    <t>CLIENT :</t>
  </si>
  <si>
    <t>VERSEMENT OR :</t>
  </si>
  <si>
    <t>VERSEMENT ARGENT :</t>
  </si>
  <si>
    <t>RETOUR OR :</t>
  </si>
  <si>
    <t>RETOUR ARGENT :</t>
  </si>
  <si>
    <t>OR VERSER :</t>
  </si>
  <si>
    <t>FONTE :</t>
  </si>
  <si>
    <t>TITRE :</t>
  </si>
  <si>
    <t>VERS-CLT-2020-1</t>
  </si>
  <si>
    <t>VERS-CLT-2020-2</t>
  </si>
  <si>
    <t>VERS-CLT-2020-3</t>
  </si>
  <si>
    <t>inserer les versement , les retours et les goupelles des clients</t>
  </si>
  <si>
    <t>FOURNISSEUR :</t>
  </si>
  <si>
    <t>VERS-FR-2020-1</t>
  </si>
  <si>
    <t>VENTE-2020-1</t>
  </si>
  <si>
    <t>04/04/2020</t>
  </si>
  <si>
    <t>VENTE-2020-2</t>
  </si>
  <si>
    <t>ACHAT-2020-4</t>
  </si>
  <si>
    <t>0770212135</t>
  </si>
  <si>
    <t>VERS-FR-2020-2</t>
  </si>
  <si>
    <t>VERS-FR-2020-3</t>
  </si>
  <si>
    <t>VENTE-2020-3</t>
  </si>
  <si>
    <t>05/04/2020</t>
  </si>
  <si>
    <t>VENTE-2020-4</t>
  </si>
  <si>
    <t>VENTE-2020-5</t>
  </si>
  <si>
    <t>LIGNE</t>
  </si>
  <si>
    <t>RESTE O</t>
  </si>
  <si>
    <t>RESTE A</t>
  </si>
  <si>
    <t>VERS-FR-2020-5</t>
  </si>
  <si>
    <t>VERS-CLT-2020-4</t>
  </si>
  <si>
    <t>SUIVIE DES OPERATIONS CLIENTS</t>
  </si>
  <si>
    <t>AJOUTER UN NOUVEAU CLIENT</t>
  </si>
  <si>
    <t>ESPACE CLIENTS</t>
  </si>
  <si>
    <t>SUIVIE DES OPERATIONS FOURNISSEURS</t>
  </si>
  <si>
    <t>AJOUTER UN FOURNISSEUR</t>
  </si>
  <si>
    <t>ESPACE FOURNISSEURS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</si>
</sst>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\ &quot;€&quot;;\-#,##0.00\ &quot;€&quot;"/>
    <numFmt numFmtId="165" formatCode="_-* #,##0.00\ _€_-;\-* #,##0.00\ _€_-;_-* &quot;-&quot;??\ _€_-;_-@_-"/>
    <numFmt numFmtId="166" formatCode="&quot;IL FAUX ACHETER&quot;"/>
    <numFmt numFmtId="167" formatCode="#,##0.00\ _€"/>
    <numFmt numFmtId="168" formatCode="0#&quot; &quot;##&quot; &quot;##&quot; &quot;##&quot; &quot;##"/>
    <numFmt numFmtId="169" formatCode="#,##0.00\ &quot;€&quot;"/>
    <numFmt numFmtId="170" formatCode="_-* #,##0\ _€_-;\-* #,##0\ _€_-;_-* &quot;-&quot;??\ _€_-;_-@_-"/>
  </numFmts>
  <fonts count="22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theme="1"/>
      <name val="Andalus"/>
      <family val="1"/>
    </font>
    <font>
      <b/>
      <sz val="11"/>
      <color theme="0" tint="-0.499984740745262"/>
      <name val="Andalus"/>
      <family val="1"/>
    </font>
    <font>
      <b/>
      <sz val="22"/>
      <color theme="0" tint="-0.499984740745262"/>
      <name val="Andalus"/>
      <family val="1"/>
    </font>
    <font>
      <sz val="11"/>
      <color theme="0" tint="-0.499984740745262"/>
      <name val="Calibri"/>
      <family val="2"/>
      <scheme val="minor"/>
    </font>
    <font>
      <sz val="10"/>
      <color theme="1"/>
      <name val="Andalus"/>
      <family val="1"/>
    </font>
    <font>
      <b/>
      <sz val="11"/>
      <color rgb="FFC00000"/>
      <name val="Calibri"/>
      <scheme val="minor"/>
    </font>
    <font>
      <b/>
      <sz val="11"/>
      <color theme="1"/>
      <name val="Calibri"/>
      <family val="2"/>
    </font>
    <font>
      <sz val="12"/>
      <color theme="7" tint="-0.499984740745262"/>
      <name val="Algerian"/>
      <family val="5"/>
    </font>
    <font>
      <b/>
      <i/>
      <sz val="18"/>
      <color theme="7" tint="-0.499984740745262"/>
      <name val="Algerian"/>
      <family val="5"/>
    </font>
    <font>
      <b/>
      <sz val="11"/>
      <color theme="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9"/>
      <color theme="1"/>
      <name val="Andalus"/>
      <family val="1"/>
    </font>
    <font>
      <sz val="11"/>
      <color theme="0"/>
      <name val="Calibri"/>
      <family val="2"/>
      <scheme val="minor"/>
    </font>
    <font>
      <sz val="11"/>
      <color theme="9" tint="-0.499984740745262"/>
      <name val="Arial Black"/>
      <family val="2"/>
    </font>
    <font>
      <sz val="22"/>
      <color theme="9" tint="-0.499984740745262"/>
      <name val="Arial Black"/>
      <family val="2"/>
    </font>
    <font>
      <sz val="10"/>
      <color theme="9" tint="-0.499984740745262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6" tint="0.39997558519241921"/>
      </left>
      <right/>
      <top/>
      <bottom/>
      <diagonal/>
    </border>
    <border>
      <left/>
      <right/>
      <top/>
      <bottom style="double">
        <color theme="6" tint="0.39997558519241921"/>
      </bottom>
      <diagonal/>
    </border>
    <border>
      <left/>
      <right style="double">
        <color theme="6" tint="0.39997558519241921"/>
      </right>
      <top/>
      <bottom/>
      <diagonal/>
    </border>
    <border>
      <left style="double">
        <color theme="6" tint="0.39997558519241921"/>
      </left>
      <right/>
      <top/>
      <bottom style="double">
        <color theme="6" tint="0.39997558519241921"/>
      </bottom>
      <diagonal/>
    </border>
    <border>
      <left style="double">
        <color theme="6" tint="0.39997558519241921"/>
      </left>
      <right/>
      <top style="double">
        <color theme="6" tint="0.39997558519241921"/>
      </top>
      <bottom/>
      <diagonal/>
    </border>
    <border>
      <left style="double">
        <color theme="6" tint="0.3999755851924192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6" tint="0.39997558519241921"/>
      </left>
      <right style="double">
        <color theme="6" tint="0.39997558519241921"/>
      </right>
      <top style="double">
        <color theme="6" tint="0.39997558519241921"/>
      </top>
      <bottom style="double">
        <color theme="6" tint="0.39997558519241921"/>
      </bottom>
      <diagonal/>
    </border>
    <border>
      <left style="double">
        <color theme="6" tint="0.39997558519241921"/>
      </left>
      <right/>
      <top/>
      <bottom style="medium">
        <color theme="6" tint="0.39997558519241921"/>
      </bottom>
      <diagonal/>
    </border>
    <border>
      <left/>
      <right/>
      <top/>
      <bottom style="medium">
        <color theme="6" tint="0.39997558519241921"/>
      </bottom>
      <diagonal/>
    </border>
    <border>
      <left/>
      <right style="double">
        <color theme="6" tint="0.39997558519241921"/>
      </right>
      <top/>
      <bottom style="medium">
        <color theme="6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Dashed">
        <color rgb="FF002060"/>
      </left>
      <right/>
      <top/>
      <bottom/>
      <diagonal/>
    </border>
    <border>
      <left/>
      <right style="mediumDashed">
        <color rgb="FF002060"/>
      </right>
      <top/>
      <bottom/>
      <diagonal/>
    </border>
    <border>
      <left style="mediumDashed">
        <color rgb="FF002060"/>
      </left>
      <right/>
      <top/>
      <bottom style="mediumDashed">
        <color rgb="FF002060"/>
      </bottom>
      <diagonal/>
    </border>
    <border>
      <left/>
      <right/>
      <top/>
      <bottom style="mediumDashed">
        <color rgb="FF002060"/>
      </bottom>
      <diagonal/>
    </border>
    <border>
      <left/>
      <right style="mediumDashed">
        <color rgb="FF002060"/>
      </right>
      <top/>
      <bottom style="mediumDashed">
        <color rgb="FF002060"/>
      </bottom>
      <diagonal/>
    </border>
    <border>
      <left style="double">
        <color theme="5" tint="-0.499984740745262"/>
      </left>
      <right/>
      <top style="double">
        <color theme="5" tint="-0.499984740745262"/>
      </top>
      <bottom/>
      <diagonal/>
    </border>
    <border>
      <left/>
      <right/>
      <top style="double">
        <color theme="5" tint="-0.499984740745262"/>
      </top>
      <bottom/>
      <diagonal/>
    </border>
    <border>
      <left/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/>
      <top/>
      <bottom/>
      <diagonal/>
    </border>
    <border>
      <left/>
      <right style="double">
        <color theme="5" tint="-0.499984740745262"/>
      </right>
      <top/>
      <bottom/>
      <diagonal/>
    </border>
    <border>
      <left style="double">
        <color theme="5" tint="-0.499984740745262"/>
      </left>
      <right/>
      <top/>
      <bottom style="double">
        <color theme="5" tint="-0.499984740745262"/>
      </bottom>
      <diagonal/>
    </border>
    <border>
      <left/>
      <right/>
      <top/>
      <bottom style="double">
        <color theme="5" tint="-0.499984740745262"/>
      </bottom>
      <diagonal/>
    </border>
    <border>
      <left/>
      <right style="double">
        <color theme="5" tint="-0.499984740745262"/>
      </right>
      <top/>
      <bottom style="double">
        <color theme="5" tint="-0.499984740745262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mediumDashed">
        <color theme="9" tint="0.79998168889431442"/>
      </left>
      <right/>
      <top style="mediumDashed">
        <color theme="9" tint="0.79998168889431442"/>
      </top>
      <bottom/>
      <diagonal/>
    </border>
    <border>
      <left/>
      <right/>
      <top style="mediumDashed">
        <color theme="9" tint="0.79998168889431442"/>
      </top>
      <bottom/>
      <diagonal/>
    </border>
    <border>
      <left/>
      <right style="mediumDashed">
        <color theme="9" tint="0.79998168889431442"/>
      </right>
      <top style="mediumDashed">
        <color theme="9" tint="0.79998168889431442"/>
      </top>
      <bottom/>
      <diagonal/>
    </border>
    <border>
      <left style="mediumDashed">
        <color theme="9" tint="0.79998168889431442"/>
      </left>
      <right/>
      <top style="mediumDashed">
        <color theme="9" tint="0.79998168889431442"/>
      </top>
      <bottom style="mediumDashed">
        <color theme="9" tint="0.79995117038483843"/>
      </bottom>
      <diagonal/>
    </border>
    <border>
      <left/>
      <right/>
      <top style="mediumDashed">
        <color theme="9" tint="0.79998168889431442"/>
      </top>
      <bottom style="mediumDashed">
        <color theme="9" tint="0.79995117038483843"/>
      </bottom>
      <diagonal/>
    </border>
    <border>
      <left/>
      <right style="mediumDashed">
        <color theme="9" tint="0.79998168889431442"/>
      </right>
      <top style="mediumDashed">
        <color theme="9" tint="0.79998168889431442"/>
      </top>
      <bottom style="mediumDashed">
        <color theme="9" tint="0.79995117038483843"/>
      </bottom>
      <diagonal/>
    </border>
    <border>
      <left style="mediumDashed">
        <color theme="9" tint="0.79998168889431442"/>
      </left>
      <right/>
      <top/>
      <bottom style="mediumDashed">
        <color theme="9" tint="0.79995117038483843"/>
      </bottom>
      <diagonal/>
    </border>
    <border>
      <left/>
      <right/>
      <top/>
      <bottom style="mediumDashed">
        <color theme="9" tint="0.79995117038483843"/>
      </bottom>
      <diagonal/>
    </border>
    <border>
      <left/>
      <right style="mediumDashed">
        <color theme="9" tint="0.79998168889431442"/>
      </right>
      <top/>
      <bottom style="mediumDashed">
        <color theme="9" tint="0.79995117038483843"/>
      </bottom>
      <diagonal/>
    </border>
  </borders>
  <cellStyleXfs count="2">
    <xf numFmtId="0" fontId="0" fillId="0" borderId="0"/>
    <xf numFmtId="165" fontId="15" fillId="0" borderId="0" applyFont="0" applyFill="0" applyBorder="0" applyAlignment="0" applyProtection="0"/>
  </cellStyleXfs>
  <cellXfs count="15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/>
    <xf numFmtId="0" fontId="2" fillId="2" borderId="2" xfId="0" applyFont="1" applyFill="1" applyBorder="1"/>
    <xf numFmtId="0" fontId="0" fillId="0" borderId="3" xfId="0" applyBorder="1"/>
    <xf numFmtId="0" fontId="3" fillId="3" borderId="0" xfId="0" applyFont="1" applyFill="1"/>
    <xf numFmtId="0" fontId="4" fillId="3" borderId="0" xfId="0" applyFont="1" applyFill="1"/>
    <xf numFmtId="0" fontId="0" fillId="0" borderId="4" xfId="0" applyBorder="1"/>
    <xf numFmtId="0" fontId="5" fillId="0" borderId="0" xfId="0" applyFont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9" fillId="0" borderId="0" xfId="0" applyFont="1"/>
    <xf numFmtId="49" fontId="0" fillId="0" borderId="0" xfId="0" applyNumberFormat="1" applyAlignment="1">
      <alignment horizontal="center" vertical="center"/>
    </xf>
    <xf numFmtId="0" fontId="4" fillId="3" borderId="0" xfId="0" applyNumberFormat="1" applyFont="1" applyFill="1"/>
    <xf numFmtId="2" fontId="0" fillId="0" borderId="0" xfId="0" applyNumberFormat="1" applyAlignment="1">
      <alignment horizontal="center" vertical="center"/>
    </xf>
    <xf numFmtId="3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4" fontId="0" fillId="0" borderId="4" xfId="0" applyNumberFormat="1" applyBorder="1"/>
    <xf numFmtId="2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0" fontId="0" fillId="0" borderId="0" xfId="0" applyBorder="1" applyAlignment="1">
      <alignment horizontal="left" vertical="center"/>
    </xf>
    <xf numFmtId="166" fontId="10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67" fontId="0" fillId="0" borderId="0" xfId="0" applyNumberFormat="1" applyBorder="1" applyAlignment="1">
      <alignment horizontal="right" vertical="center"/>
    </xf>
    <xf numFmtId="3" fontId="0" fillId="0" borderId="0" xfId="0" applyNumberFormat="1"/>
    <xf numFmtId="167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8" fontId="0" fillId="0" borderId="0" xfId="0" applyNumberFormat="1"/>
    <xf numFmtId="2" fontId="0" fillId="0" borderId="0" xfId="0" applyNumberFormat="1"/>
    <xf numFmtId="16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3" fillId="3" borderId="0" xfId="0" applyFont="1" applyFill="1" applyBorder="1"/>
    <xf numFmtId="0" fontId="12" fillId="4" borderId="0" xfId="0" applyFont="1" applyFill="1"/>
    <xf numFmtId="0" fontId="12" fillId="4" borderId="23" xfId="0" applyFont="1" applyFill="1" applyBorder="1"/>
    <xf numFmtId="0" fontId="12" fillId="4" borderId="2" xfId="0" applyFont="1" applyFill="1" applyBorder="1"/>
    <xf numFmtId="0" fontId="12" fillId="4" borderId="0" xfId="0" applyFont="1" applyFill="1" applyBorder="1"/>
    <xf numFmtId="0" fontId="12" fillId="4" borderId="24" xfId="0" applyFont="1" applyFill="1" applyBorder="1"/>
    <xf numFmtId="0" fontId="12" fillId="4" borderId="25" xfId="0" applyFont="1" applyFill="1" applyBorder="1"/>
    <xf numFmtId="0" fontId="12" fillId="4" borderId="26" xfId="0" applyFont="1" applyFill="1" applyBorder="1"/>
    <xf numFmtId="0" fontId="12" fillId="4" borderId="27" xfId="0" applyFont="1" applyFill="1" applyBorder="1"/>
    <xf numFmtId="0" fontId="12" fillId="5" borderId="0" xfId="0" applyFont="1" applyFill="1"/>
    <xf numFmtId="0" fontId="12" fillId="5" borderId="23" xfId="0" applyFont="1" applyFill="1" applyBorder="1"/>
    <xf numFmtId="0" fontId="12" fillId="5" borderId="0" xfId="0" applyFont="1" applyFill="1" applyBorder="1"/>
    <xf numFmtId="0" fontId="12" fillId="5" borderId="24" xfId="0" applyFont="1" applyFill="1" applyBorder="1"/>
    <xf numFmtId="0" fontId="12" fillId="5" borderId="2" xfId="0" applyFont="1" applyFill="1" applyBorder="1"/>
    <xf numFmtId="0" fontId="12" fillId="5" borderId="25" xfId="0" applyFont="1" applyFill="1" applyBorder="1"/>
    <xf numFmtId="0" fontId="12" fillId="5" borderId="26" xfId="0" applyFont="1" applyFill="1" applyBorder="1"/>
    <xf numFmtId="0" fontId="12" fillId="5" borderId="27" xfId="0" applyFont="1" applyFill="1" applyBorder="1"/>
    <xf numFmtId="0" fontId="14" fillId="0" borderId="0" xfId="0" applyFont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167" fontId="14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4" fontId="11" fillId="0" borderId="0" xfId="0" applyNumberFormat="1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 wrapText="1"/>
    </xf>
    <xf numFmtId="0" fontId="2" fillId="6" borderId="36" xfId="0" applyFont="1" applyFill="1" applyBorder="1"/>
    <xf numFmtId="0" fontId="0" fillId="0" borderId="36" xfId="0" applyFont="1" applyBorder="1"/>
    <xf numFmtId="0" fontId="0" fillId="0" borderId="37" xfId="0" applyFont="1" applyBorder="1"/>
    <xf numFmtId="0" fontId="16" fillId="0" borderId="36" xfId="0" applyFont="1" applyBorder="1"/>
    <xf numFmtId="170" fontId="0" fillId="0" borderId="0" xfId="1" applyNumberFormat="1" applyFont="1"/>
    <xf numFmtId="0" fontId="17" fillId="0" borderId="0" xfId="0" applyFont="1" applyAlignment="1">
      <alignment horizontal="center" vertical="center" wrapText="1"/>
    </xf>
    <xf numFmtId="2" fontId="18" fillId="7" borderId="0" xfId="0" applyNumberFormat="1" applyFont="1" applyFill="1"/>
    <xf numFmtId="169" fontId="18" fillId="7" borderId="0" xfId="0" applyNumberFormat="1" applyFont="1" applyFill="1"/>
    <xf numFmtId="0" fontId="18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8" borderId="0" xfId="0" applyFill="1" applyBorder="1"/>
    <xf numFmtId="0" fontId="9" fillId="8" borderId="0" xfId="0" applyFont="1" applyFill="1" applyBorder="1"/>
    <xf numFmtId="3" fontId="0" fillId="8" borderId="0" xfId="0" applyNumberFormat="1" applyFill="1" applyBorder="1"/>
    <xf numFmtId="0" fontId="0" fillId="8" borderId="0" xfId="0" applyFill="1"/>
    <xf numFmtId="0" fontId="2" fillId="8" borderId="0" xfId="0" applyFont="1" applyFill="1" applyBorder="1"/>
    <xf numFmtId="0" fontId="3" fillId="8" borderId="0" xfId="0" applyFont="1" applyFill="1" applyBorder="1"/>
    <xf numFmtId="0" fontId="4" fillId="8" borderId="0" xfId="0" applyNumberFormat="1" applyFont="1" applyFill="1" applyBorder="1"/>
    <xf numFmtId="0" fontId="4" fillId="8" borderId="0" xfId="0" applyFont="1" applyFill="1" applyBorder="1"/>
    <xf numFmtId="0" fontId="0" fillId="2" borderId="0" xfId="0" applyFill="1" applyBorder="1"/>
    <xf numFmtId="0" fontId="9" fillId="2" borderId="0" xfId="0" applyFont="1" applyFill="1" applyBorder="1"/>
    <xf numFmtId="3" fontId="0" fillId="2" borderId="0" xfId="0" applyNumberFormat="1" applyFill="1" applyBorder="1"/>
    <xf numFmtId="0" fontId="0" fillId="7" borderId="0" xfId="0" applyFill="1"/>
    <xf numFmtId="0" fontId="0" fillId="7" borderId="8" xfId="0" applyFill="1" applyBorder="1"/>
    <xf numFmtId="0" fontId="0" fillId="7" borderId="0" xfId="0" applyFill="1" applyBorder="1"/>
    <xf numFmtId="0" fontId="6" fillId="7" borderId="12" xfId="0" applyFont="1" applyFill="1" applyBorder="1"/>
    <xf numFmtId="14" fontId="6" fillId="7" borderId="16" xfId="0" applyNumberFormat="1" applyFont="1" applyFill="1" applyBorder="1"/>
    <xf numFmtId="0" fontId="0" fillId="7" borderId="9" xfId="0" applyFill="1" applyBorder="1"/>
    <xf numFmtId="0" fontId="6" fillId="7" borderId="11" xfId="0" applyFont="1" applyFill="1" applyBorder="1"/>
    <xf numFmtId="0" fontId="6" fillId="7" borderId="16" xfId="0" applyFont="1" applyFill="1" applyBorder="1"/>
    <xf numFmtId="0" fontId="6" fillId="7" borderId="10" xfId="0" applyFont="1" applyFill="1" applyBorder="1"/>
    <xf numFmtId="0" fontId="6" fillId="7" borderId="8" xfId="0" applyFont="1" applyFill="1" applyBorder="1"/>
    <xf numFmtId="0" fontId="0" fillId="7" borderId="13" xfId="0" applyFill="1" applyBorder="1"/>
    <xf numFmtId="0" fontId="0" fillId="7" borderId="4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6" xfId="0" applyFill="1" applyBorder="1"/>
    <xf numFmtId="0" fontId="0" fillId="7" borderId="7" xfId="0" applyFill="1" applyBorder="1"/>
    <xf numFmtId="167" fontId="0" fillId="7" borderId="4" xfId="0" applyNumberFormat="1" applyFill="1" applyBorder="1"/>
    <xf numFmtId="167" fontId="0" fillId="7" borderId="0" xfId="0" applyNumberFormat="1" applyFill="1" applyBorder="1"/>
    <xf numFmtId="0" fontId="0" fillId="7" borderId="1" xfId="0" applyFill="1" applyBorder="1"/>
    <xf numFmtId="0" fontId="8" fillId="7" borderId="5" xfId="0" applyFont="1" applyFill="1" applyBorder="1"/>
    <xf numFmtId="10" fontId="8" fillId="7" borderId="5" xfId="0" applyNumberFormat="1" applyFont="1" applyFill="1" applyBorder="1"/>
    <xf numFmtId="0" fontId="6" fillId="7" borderId="5" xfId="0" applyFont="1" applyFill="1" applyBorder="1"/>
    <xf numFmtId="167" fontId="6" fillId="7" borderId="5" xfId="0" applyNumberFormat="1" applyFont="1" applyFill="1" applyBorder="1" applyAlignment="1">
      <alignment horizontal="center" vertical="center"/>
    </xf>
    <xf numFmtId="4" fontId="6" fillId="7" borderId="5" xfId="0" applyNumberFormat="1" applyFont="1" applyFill="1" applyBorder="1" applyAlignment="1">
      <alignment horizontal="center" vertical="center"/>
    </xf>
    <xf numFmtId="0" fontId="0" fillId="7" borderId="21" xfId="0" applyFill="1" applyBorder="1"/>
    <xf numFmtId="0" fontId="0" fillId="7" borderId="20" xfId="0" applyFill="1" applyBorder="1"/>
    <xf numFmtId="0" fontId="0" fillId="7" borderId="22" xfId="0" applyFill="1" applyBorder="1"/>
    <xf numFmtId="167" fontId="0" fillId="7" borderId="7" xfId="0" applyNumberFormat="1" applyFill="1" applyBorder="1"/>
    <xf numFmtId="0" fontId="21" fillId="8" borderId="38" xfId="0" applyFont="1" applyFill="1" applyBorder="1" applyAlignment="1">
      <alignment horizontal="center" vertical="center"/>
    </xf>
    <xf numFmtId="0" fontId="21" fillId="8" borderId="39" xfId="0" applyFont="1" applyFill="1" applyBorder="1" applyAlignment="1">
      <alignment horizontal="center" vertical="center"/>
    </xf>
    <xf numFmtId="0" fontId="21" fillId="8" borderId="40" xfId="0" applyFont="1" applyFill="1" applyBorder="1" applyAlignment="1">
      <alignment horizontal="center" vertical="center"/>
    </xf>
    <xf numFmtId="0" fontId="20" fillId="8" borderId="38" xfId="0" applyFont="1" applyFill="1" applyBorder="1" applyAlignment="1">
      <alignment horizontal="center" vertical="center"/>
    </xf>
    <xf numFmtId="0" fontId="20" fillId="8" borderId="39" xfId="0" applyFont="1" applyFill="1" applyBorder="1" applyAlignment="1">
      <alignment horizontal="center" vertical="center"/>
    </xf>
    <xf numFmtId="0" fontId="20" fillId="8" borderId="40" xfId="0" applyFont="1" applyFill="1" applyBorder="1" applyAlignment="1">
      <alignment horizontal="center" vertical="center"/>
    </xf>
    <xf numFmtId="0" fontId="20" fillId="8" borderId="44" xfId="0" applyFont="1" applyFill="1" applyBorder="1" applyAlignment="1">
      <alignment horizontal="center" vertical="center"/>
    </xf>
    <xf numFmtId="0" fontId="20" fillId="8" borderId="45" xfId="0" applyFont="1" applyFill="1" applyBorder="1" applyAlignment="1">
      <alignment horizontal="center" vertical="center"/>
    </xf>
    <xf numFmtId="0" fontId="20" fillId="8" borderId="46" xfId="0" applyFont="1" applyFill="1" applyBorder="1" applyAlignment="1">
      <alignment horizontal="center" vertical="center"/>
    </xf>
    <xf numFmtId="0" fontId="19" fillId="8" borderId="38" xfId="0" applyFont="1" applyFill="1" applyBorder="1" applyAlignment="1">
      <alignment horizontal="center" vertical="center"/>
    </xf>
    <xf numFmtId="0" fontId="19" fillId="8" borderId="39" xfId="0" applyFont="1" applyFill="1" applyBorder="1" applyAlignment="1">
      <alignment horizontal="center" vertical="center"/>
    </xf>
    <xf numFmtId="0" fontId="19" fillId="8" borderId="40" xfId="0" applyFont="1" applyFill="1" applyBorder="1" applyAlignment="1">
      <alignment horizontal="center" vertical="center"/>
    </xf>
    <xf numFmtId="0" fontId="19" fillId="8" borderId="44" xfId="0" applyFont="1" applyFill="1" applyBorder="1" applyAlignment="1">
      <alignment horizontal="center" vertical="center"/>
    </xf>
    <xf numFmtId="0" fontId="19" fillId="8" borderId="45" xfId="0" applyFont="1" applyFill="1" applyBorder="1" applyAlignment="1">
      <alignment horizontal="center" vertical="center"/>
    </xf>
    <xf numFmtId="0" fontId="19" fillId="8" borderId="46" xfId="0" applyFont="1" applyFill="1" applyBorder="1" applyAlignment="1">
      <alignment horizontal="center" vertical="center"/>
    </xf>
    <xf numFmtId="0" fontId="19" fillId="8" borderId="41" xfId="0" applyFont="1" applyFill="1" applyBorder="1" applyAlignment="1">
      <alignment horizontal="center" vertical="center"/>
    </xf>
    <xf numFmtId="0" fontId="19" fillId="8" borderId="42" xfId="0" applyFont="1" applyFill="1" applyBorder="1" applyAlignment="1">
      <alignment horizontal="center" vertical="center"/>
    </xf>
    <xf numFmtId="0" fontId="19" fillId="8" borderId="43" xfId="0" applyFont="1" applyFill="1" applyBorder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5" borderId="28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0" fontId="7" fillId="7" borderId="19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5">
    <dxf>
      <font>
        <b/>
        <i val="0"/>
        <color theme="0" tint="-0.499984740745262"/>
      </font>
      <fill>
        <patternFill patternType="gray0625">
          <fgColor theme="0" tint="-0.499984740745262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171" formatCode="#,##0.00\ _€;\-#,##0.00\ _€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2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_-* #,##0\ _€_-;\-* #,##0\ _€_-;_-* &quot;-&quot;??\ _€_-;_-@_-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7" formatCode="#,##0.00\ _€"/>
    </dxf>
    <dxf>
      <numFmt numFmtId="4" formatCode="#,##0.00"/>
    </dxf>
    <dxf>
      <numFmt numFmtId="167" formatCode="#,##0.00\ _€"/>
    </dxf>
    <dxf>
      <numFmt numFmtId="4" formatCode="#,##0.00"/>
    </dxf>
    <dxf>
      <numFmt numFmtId="172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#,##0.00\ _€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#,##0.00\ _€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2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theme="0" tint="-0.499984740745262"/>
      </font>
      <fill>
        <patternFill patternType="gray0625">
          <fgColor theme="0" tint="-0.499984740745262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2" formatCode="d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92D050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numFmt numFmtId="169" formatCode="#,##0.00\ &quot;€&quot;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7" formatCode="#,##0.00\ _€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2" formatCode="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7" formatCode="#,##0.00\ _€"/>
    </dxf>
    <dxf>
      <numFmt numFmtId="168" formatCode="0#&quot; &quot;##&quot; &quot;##&quot; &quot;##&quot; &quot;#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&quot;IL FAUX ACHETER&quot;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,##0.00\ _€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ill>
        <patternFill>
          <fgColor rgb="FFC00000"/>
          <bgColor theme="9" tint="0.79998168889431442"/>
        </patternFill>
      </fill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iagrams/_rels/data1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5.png"/></Relationships>
</file>

<file path=xl/diagram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5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B2A6280-C3A1-45BC-B1AF-786F1B9B548F}" type="doc">
      <dgm:prSet loTypeId="urn:microsoft.com/office/officeart/2008/layout/AccentedPicture" loCatId="picture" qsTypeId="urn:microsoft.com/office/officeart/2005/8/quickstyle/simple1" qsCatId="simple" csTypeId="urn:microsoft.com/office/officeart/2005/8/colors/accent1_2" csCatId="accent1" phldr="1"/>
      <dgm:spPr/>
    </dgm:pt>
    <dgm:pt modelId="{422F868D-A8A3-44E2-B5DD-4B93BCBD0BDA}">
      <dgm:prSet phldrT="[Text]"/>
      <dgm:spPr>
        <a:ln>
          <a:solidFill>
            <a:srgbClr val="C8C6BD"/>
          </a:solidFill>
        </a:ln>
      </dgm:spPr>
      <dgm:t>
        <a:bodyPr/>
        <a:lstStyle/>
        <a:p>
          <a:r>
            <a:rPr lang="en-US">
              <a:solidFill>
                <a:schemeClr val="tx2"/>
              </a:solidFill>
            </a:rPr>
            <a:t>AJOUTER UN ARTICLE</a:t>
          </a:r>
        </a:p>
      </dgm:t>
    </dgm:pt>
    <dgm:pt modelId="{8CA3BC42-23C5-4192-9330-E0B7681DFE15}" type="parTrans" cxnId="{E4F939E3-5C88-449D-986A-0D88D03CC822}">
      <dgm:prSet/>
      <dgm:spPr/>
      <dgm:t>
        <a:bodyPr/>
        <a:lstStyle/>
        <a:p>
          <a:endParaRPr lang="en-US"/>
        </a:p>
      </dgm:t>
    </dgm:pt>
    <dgm:pt modelId="{5C4A62C4-8F9A-4471-AE7C-AC2EADA2DE0F}" type="sibTrans" cxnId="{E4F939E3-5C88-449D-986A-0D88D03CC822}">
      <dgm:prSet/>
      <dgm:spPr>
        <a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artisticMarker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34000" r="-34000"/>
          </a:stretch>
        </a:blipFill>
        <a:ln>
          <a:solidFill>
            <a:srgbClr val="FFC000"/>
          </a:solidFill>
        </a:ln>
      </dgm:spPr>
      <dgm:t>
        <a:bodyPr/>
        <a:lstStyle/>
        <a:p>
          <a:endParaRPr lang="en-US"/>
        </a:p>
      </dgm:t>
    </dgm:pt>
    <dgm:pt modelId="{DAA8C92E-32A5-41C1-BC0D-8E0E70024358}" type="pres">
      <dgm:prSet presAssocID="{EB2A6280-C3A1-45BC-B1AF-786F1B9B548F}" presName="Name0" presStyleCnt="0">
        <dgm:presLayoutVars>
          <dgm:dir/>
        </dgm:presLayoutVars>
      </dgm:prSet>
      <dgm:spPr/>
    </dgm:pt>
    <dgm:pt modelId="{703A3F65-1441-4150-9EAD-AE3D38DCE153}" type="pres">
      <dgm:prSet presAssocID="{5C4A62C4-8F9A-4471-AE7C-AC2EADA2DE0F}" presName="picture_1" presStyleLbl="bgImgPlace1" presStyleIdx="0" presStyleCnt="1" custScaleX="401440" custLinFactNeighborX="96405"/>
      <dgm:spPr/>
    </dgm:pt>
    <dgm:pt modelId="{46586E95-3F0B-4A64-B01D-8DBEA386CA2F}" type="pres">
      <dgm:prSet presAssocID="{422F868D-A8A3-44E2-B5DD-4B93BCBD0BDA}" presName="text_1" presStyleLbl="node1" presStyleIdx="0" presStyleCnt="0" custScaleX="254474" custScaleY="65633">
        <dgm:presLayoutVars>
          <dgm:bulletEnabled val="1"/>
        </dgm:presLayoutVars>
      </dgm:prSet>
      <dgm:spPr/>
    </dgm:pt>
    <dgm:pt modelId="{BED5B736-C124-4AE1-A433-9EAE757F71FD}" type="pres">
      <dgm:prSet presAssocID="{EB2A6280-C3A1-45BC-B1AF-786F1B9B548F}" presName="maxNode" presStyleCnt="0"/>
      <dgm:spPr/>
    </dgm:pt>
    <dgm:pt modelId="{3CE2FD45-76FA-4E09-B600-DA51F6256CCA}" type="pres">
      <dgm:prSet presAssocID="{EB2A6280-C3A1-45BC-B1AF-786F1B9B548F}" presName="Name33" presStyleCnt="0"/>
      <dgm:spPr/>
    </dgm:pt>
  </dgm:ptLst>
  <dgm:cxnLst>
    <dgm:cxn modelId="{A50C711E-67F8-4894-A393-10EDBD1925ED}" type="presOf" srcId="{EB2A6280-C3A1-45BC-B1AF-786F1B9B548F}" destId="{DAA8C92E-32A5-41C1-BC0D-8E0E70024358}" srcOrd="0" destOrd="0" presId="urn:microsoft.com/office/officeart/2008/layout/AccentedPicture"/>
    <dgm:cxn modelId="{23EDF9CE-7A12-4849-8321-58EA4D2B9F73}" type="presOf" srcId="{422F868D-A8A3-44E2-B5DD-4B93BCBD0BDA}" destId="{46586E95-3F0B-4A64-B01D-8DBEA386CA2F}" srcOrd="0" destOrd="0" presId="urn:microsoft.com/office/officeart/2008/layout/AccentedPicture"/>
    <dgm:cxn modelId="{E4F939E3-5C88-449D-986A-0D88D03CC822}" srcId="{EB2A6280-C3A1-45BC-B1AF-786F1B9B548F}" destId="{422F868D-A8A3-44E2-B5DD-4B93BCBD0BDA}" srcOrd="0" destOrd="0" parTransId="{8CA3BC42-23C5-4192-9330-E0B7681DFE15}" sibTransId="{5C4A62C4-8F9A-4471-AE7C-AC2EADA2DE0F}"/>
    <dgm:cxn modelId="{46E3A6F6-2B9D-4521-92FB-ED41A6124042}" type="presOf" srcId="{5C4A62C4-8F9A-4471-AE7C-AC2EADA2DE0F}" destId="{703A3F65-1441-4150-9EAD-AE3D38DCE153}" srcOrd="0" destOrd="0" presId="urn:microsoft.com/office/officeart/2008/layout/AccentedPicture"/>
    <dgm:cxn modelId="{462AD1CF-E297-485D-9925-EF735BCC20D9}" type="presParOf" srcId="{DAA8C92E-32A5-41C1-BC0D-8E0E70024358}" destId="{703A3F65-1441-4150-9EAD-AE3D38DCE153}" srcOrd="0" destOrd="0" presId="urn:microsoft.com/office/officeart/2008/layout/AccentedPicture"/>
    <dgm:cxn modelId="{6DA805D6-6563-46FB-A7E5-191FCA2BED85}" type="presParOf" srcId="{DAA8C92E-32A5-41C1-BC0D-8E0E70024358}" destId="{46586E95-3F0B-4A64-B01D-8DBEA386CA2F}" srcOrd="1" destOrd="0" presId="urn:microsoft.com/office/officeart/2008/layout/AccentedPicture"/>
    <dgm:cxn modelId="{8F385F7C-9706-44DB-9378-36A730A94382}" type="presParOf" srcId="{DAA8C92E-32A5-41C1-BC0D-8E0E70024358}" destId="{BED5B736-C124-4AE1-A433-9EAE757F71FD}" srcOrd="2" destOrd="0" presId="urn:microsoft.com/office/officeart/2008/layout/AccentedPicture"/>
    <dgm:cxn modelId="{285986BF-9C39-4904-82D0-3CC315E6CE1F}" type="presParOf" srcId="{BED5B736-C124-4AE1-A433-9EAE757F71FD}" destId="{3CE2FD45-76FA-4E09-B600-DA51F6256CCA}" srcOrd="0" destOrd="0" presId="urn:microsoft.com/office/officeart/2008/layout/AccentedPicture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03A3F65-1441-4150-9EAD-AE3D38DCE153}">
      <dsp:nvSpPr>
        <dsp:cNvPr id="0" name=""/>
        <dsp:cNvSpPr/>
      </dsp:nvSpPr>
      <dsp:spPr>
        <a:xfrm>
          <a:off x="-605724" y="0"/>
          <a:ext cx="5126223" cy="1628774"/>
        </a:xfrm>
        <a:prstGeom prst="roundRect">
          <a:avLst/>
        </a:prstGeom>
        <a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artisticMarker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34000" r="-34000"/>
          </a:stretch>
        </a:blipFill>
        <a:ln w="25400" cap="flat" cmpd="sng" algn="ctr">
          <a:solidFill>
            <a:srgbClr val="FFC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6586E95-3F0B-4A64-B01D-8DBEA386CA2F}">
      <dsp:nvSpPr>
        <dsp:cNvPr id="0" name=""/>
        <dsp:cNvSpPr/>
      </dsp:nvSpPr>
      <dsp:spPr>
        <a:xfrm>
          <a:off x="610547" y="819437"/>
          <a:ext cx="2502136" cy="641407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sp3d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b" anchorCtr="0">
          <a:noAutofit/>
        </a:bodyPr>
        <a:lstStyle/>
        <a:p>
          <a:pPr marL="0" lvl="0" indent="0" algn="l" defTabSz="9334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100" kern="1200">
              <a:solidFill>
                <a:schemeClr val="tx2"/>
              </a:solidFill>
            </a:rPr>
            <a:t>AJOUTER UN ARTICLE</a:t>
          </a:r>
        </a:p>
      </dsp:txBody>
      <dsp:txXfrm>
        <a:off x="610547" y="819437"/>
        <a:ext cx="2502136" cy="641407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ccentedPicture">
  <dgm:title val=""/>
  <dgm:desc val=""/>
  <dgm:catLst>
    <dgm:cat type="picture" pri="1000"/>
    <dgm:cat type="pictureconvert" pri="1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</dgm:varLst>
    <dgm:alg type="composite"/>
    <dgm:shape xmlns:r="http://schemas.openxmlformats.org/officeDocument/2006/relationships" r:blip="">
      <dgm:adjLst/>
    </dgm:shape>
    <dgm:choose name="Name1">
      <dgm:if name="Name2" axis="ch" ptType="node" func="cnt" op="lte" val="1">
        <dgm:constrLst>
          <dgm:constr type="h" for="ch" forName="picture_1" refType="h"/>
          <dgm:constr type="w" for="ch" forName="picture_1" refType="h" refFor="ch" refForName="picture_1" op="equ" fact="0.784"/>
          <dgm:constr type="l" for="ch" forName="picture_1"/>
          <dgm:constr type="t" for="ch" forName="picture_1"/>
          <dgm:constr type="w" for="ch" forName="text_1" refType="w" refFor="ch" refForName="picture_1" fact="0.77"/>
          <dgm:constr type="h" for="ch" forName="text_1" refType="h" refFor="ch" refForName="picture_1" fact="0.6"/>
          <dgm:constr type="l" for="ch" forName="text_1" refType="w" refFor="ch" refForName="picture_1" fact="0.04"/>
          <dgm:constr type="t" for="ch" forName="text_1" refType="h" refFor="ch" refForName="picture_1" fact="0.4"/>
        </dgm:constrLst>
      </dgm:if>
      <dgm:if name="Name3" axis="ch" ptType="node" func="cnt" op="lte" val="5">
        <dgm:choose name="Name4">
          <dgm:if name="Name5" func="var" arg="dir" op="equ" val="norm">
            <dgm:constrLst>
              <dgm:constr type="h" for="ch" forName="picture_1" refType="h" fact="0.909"/>
              <dgm:constr type="w" for="ch" forName="picture_1" refType="h" refFor="ch" refForName="picture_1" op="equ" fact="0.784"/>
              <dgm:constr type="l" for="ch" forName="picture_1"/>
              <dgm:constr type="t" for="ch" forName="picture_1" refType="h" refFor="ch" refForName="picture_1" fact="0.05"/>
              <dgm:constr type="w" for="ch" forName="picture_1" refType="w" op="lte" fact="0.588"/>
              <dgm:constr type="w" for="ch" forName="text_1" refType="w" refFor="ch" refForName="picture_1" fact="0.77"/>
              <dgm:constr type="h" for="ch" forName="text_1" refType="h" refFor="ch" refForName="picture_1" fact="0.6"/>
              <dgm:constr type="l" for="ch" forName="text_1" refType="w" refFor="ch" refForName="picture_1" fact="0.04"/>
              <dgm:constr type="t" for="ch" forName="text_1" refType="h" refFor="ch" refForName="picture_1" fact="0.41"/>
              <dgm:constr type="w" for="ch" forName="linV" refType="w"/>
              <dgm:constr type="h" for="ch" forName="linV" refType="h" refFor="ch" refForName="picture_1" fact="1.1"/>
              <dgm:constr type="l" for="ch" forName="linV"/>
              <dgm:constr type="t" for="ch" forName="linV"/>
              <dgm:constr type="userC" for="des" forName="pair" refType="r" refFor="ch" refForName="picture_1"/>
              <dgm:constr type="h" for="des" forName="pair" refType="h" refFor="ch" refForName="picture_1" fact="0.27"/>
              <dgm:constr type="h" for="des" forName="spaceV" refType="h" refFor="ch" refForName="picture_1" fact="0.0486"/>
              <dgm:constr type="l" for="ch" forName="maxNode" refType="r" refFor="ch" refForName="picture_1"/>
              <dgm:constr type="lOff" for="ch" forName="maxNode" refType="h" refFor="des" refForName="pair" fact="0.5"/>
              <dgm:constr type="r" for="ch" forName="maxNode" refType="w"/>
              <dgm:constr type="t" for="ch" forName="maxNode"/>
              <dgm:constr type="h" for="ch" forName="maxNode" val="1"/>
              <dgm:constr type="userW" for="des" forName="desText" refType="w" refFor="ch" refForName="maxNode"/>
            </dgm:constrLst>
          </dgm:if>
          <dgm:else name="Name6">
            <dgm:constrLst>
              <dgm:constr type="h" for="ch" forName="picture_1" refType="h" fact="0.909"/>
              <dgm:constr type="w" for="ch" forName="picture_1" refType="h" refFor="ch" refForName="picture_1" op="equ" fact="0.784"/>
              <dgm:constr type="r" for="ch" forName="picture_1" refType="w"/>
              <dgm:constr type="t" for="ch" forName="picture_1" refType="h" refFor="ch" refForName="picture_1" fact="0.05"/>
              <dgm:constr type="w" for="ch" forName="picture_1" refType="w" op="lte" fact="0.588"/>
              <dgm:constr type="w" for="ch" forName="text_1" refType="w" refFor="ch" refForName="picture_1" fact="0.77"/>
              <dgm:constr type="h" for="ch" forName="text_1" refType="h" refFor="ch" refForName="picture_1" fact="0.6"/>
              <dgm:constr type="r" for="ch" forName="text_1" refType="w"/>
              <dgm:constr type="t" for="ch" forName="text_1" refType="h" refFor="ch" refForName="picture_1" fact="0.41"/>
              <dgm:constr type="w" for="ch" forName="linV" refType="w"/>
              <dgm:constr type="h" for="ch" forName="linV" refType="h" refFor="ch" refForName="picture_1" fact="1.1"/>
              <dgm:constr type="l" for="ch" forName="linV"/>
              <dgm:constr type="t" for="ch" forName="linV"/>
              <dgm:constr type="userC" for="des" forName="pair" refType="l" refFor="ch" refForName="picture_1"/>
              <dgm:constr type="h" for="des" forName="pair" refType="h" refFor="ch" refForName="picture_1" fact="0.27"/>
              <dgm:constr type="h" for="des" forName="spaceV" refType="h" refFor="ch" refForName="picture_1" fact="0.0486"/>
              <dgm:constr type="r" for="ch" forName="maxNode" refType="l" refFor="ch" refForName="picture_1"/>
              <dgm:constr type="rOff" for="ch" forName="maxNode" refType="h" refFor="des" refForName="pair" fact="-0.5"/>
              <dgm:constr type="l" for="ch" forName="maxNode"/>
              <dgm:constr type="t" for="ch" forName="maxNode"/>
              <dgm:constr type="h" for="ch" forName="maxNode" val="1"/>
              <dgm:constr type="userW" for="des" forName="desText" refType="w" refFor="ch" refForName="maxNode"/>
            </dgm:constrLst>
          </dgm:else>
        </dgm:choose>
      </dgm:if>
      <dgm:else name="Name7">
        <dgm:choose name="Name8">
          <dgm:if name="Name9" func="var" arg="dir" op="equ" val="norm">
            <dgm:constrLst>
              <dgm:constr type="h" for="ch" forName="picture_1" refType="h" fact="0.909"/>
              <dgm:constr type="w" for="ch" forName="picture_1" refType="h" refFor="ch" refForName="picture_1" op="equ" fact="0.784"/>
              <dgm:constr type="l" for="ch" forName="picture_1"/>
              <dgm:constr type="t" for="ch" forName="picture_1" refType="h" refFor="ch" refForName="picture_1" fact="0.05"/>
              <dgm:constr type="w" for="ch" forName="picture_1" refType="w" op="lte" fact="0.588"/>
              <dgm:constr type="w" for="ch" forName="text_1" refType="w" refFor="ch" refForName="picture_1" fact="0.77"/>
              <dgm:constr type="h" for="ch" forName="text_1" refType="h" refFor="ch" refForName="picture_1" fact="0.6"/>
              <dgm:constr type="l" for="ch" forName="text_1" refType="w" refFor="ch" refForName="picture_1" fact="0.04"/>
              <dgm:constr type="t" for="ch" forName="text_1" refType="h" refFor="ch" refForName="picture_1" fact="0.41"/>
              <dgm:constr type="w" for="ch" forName="linV" refType="w"/>
              <dgm:constr type="h" for="ch" forName="linV" refType="h" refFor="ch" refForName="picture_1" fact="1.1"/>
              <dgm:constr type="l" for="ch" forName="linV"/>
              <dgm:constr type="t" for="ch" forName="linV"/>
              <dgm:constr type="userC" for="des" forName="pair" refType="r" refFor="ch" refForName="picture_1"/>
              <dgm:constr type="h" for="des" forName="pair" refType="h" refFor="ch" refForName="picture_1" fact="0.27"/>
              <dgm:constr type="h" for="des" forName="spaceV" refType="h" refFor="ch" refForName="picture_1" fact="0.0486"/>
              <dgm:constr type="l" for="ch" forName="maxNode" refType="r" refFor="ch" refForName="picture_1"/>
              <dgm:constr type="lOff" for="ch" forName="maxNode" refType="h" refFor="des" refForName="pair" fact="0.5"/>
              <dgm:constr type="r" for="ch" forName="maxNode" refType="w"/>
              <dgm:constr type="t" for="ch" forName="maxNode"/>
              <dgm:constr type="h" for="ch" forName="maxNode" val="1"/>
              <dgm:constr type="userW" for="des" forName="desText" refType="w" refFor="ch" refForName="maxNode"/>
            </dgm:constrLst>
          </dgm:if>
          <dgm:else name="Name10">
            <dgm:constrLst>
              <dgm:constr type="h" for="ch" forName="picture_1" refType="h" fact="0.909"/>
              <dgm:constr type="w" for="ch" forName="picture_1" refType="h" refFor="ch" refForName="picture_1" op="equ" fact="0.784"/>
              <dgm:constr type="r" for="ch" forName="picture_1" refType="w"/>
              <dgm:constr type="t" for="ch" forName="picture_1" refType="h" refFor="ch" refForName="picture_1" fact="0.05"/>
              <dgm:constr type="w" for="ch" forName="picture_1" refType="w" op="lte" fact="0.588"/>
              <dgm:constr type="w" for="ch" forName="text_1" refType="w" refFor="ch" refForName="picture_1" fact="0.77"/>
              <dgm:constr type="h" for="ch" forName="text_1" refType="h" refFor="ch" refForName="picture_1" fact="0.6"/>
              <dgm:constr type="r" for="ch" forName="text_1" refType="w"/>
              <dgm:constr type="t" for="ch" forName="text_1" refType="h" refFor="ch" refForName="picture_1" fact="0.41"/>
              <dgm:constr type="w" for="ch" forName="linV" refType="w"/>
              <dgm:constr type="h" for="ch" forName="linV" refType="h" refFor="ch" refForName="picture_1" fact="1.1"/>
              <dgm:constr type="l" for="ch" forName="linV"/>
              <dgm:constr type="t" for="ch" forName="linV"/>
              <dgm:constr type="userC" for="des" forName="pair" refType="l" refFor="ch" refForName="picture_1"/>
              <dgm:constr type="h" for="des" forName="pair" refType="h" refFor="ch" refForName="picture_1" fact="0.27"/>
              <dgm:constr type="h" for="des" forName="spaceV" refType="h" refFor="ch" refForName="picture_1" fact="0.0486"/>
              <dgm:constr type="r" for="ch" forName="maxNode" refType="l" refFor="ch" refForName="picture_1"/>
              <dgm:constr type="rOff" for="ch" forName="maxNode" refType="h" refFor="des" refForName="pair" fact="-0.5"/>
              <dgm:constr type="l" for="ch" forName="maxNode"/>
              <dgm:constr type="t" for="ch" forName="maxNode"/>
              <dgm:constr type="h" for="ch" forName="maxNode" val="1"/>
              <dgm:constr type="userW" for="des" forName="desText" refType="w" refFor="ch" refForName="maxNode"/>
            </dgm:constrLst>
          </dgm:else>
        </dgm:choose>
      </dgm:else>
    </dgm:choose>
    <dgm:forEach name="Name11" axis="ch" ptType="sibTrans" hideLastTrans="0" cnt="1">
      <dgm:layoutNode name="picture_1" styleLbl="bgImgPlace1">
        <dgm:alg type="sp"/>
        <dgm:shape xmlns:r="http://schemas.openxmlformats.org/officeDocument/2006/relationships" type="roundRect" r:blip="" blipPhldr="1">
          <dgm:adjLst/>
        </dgm:shape>
        <dgm:presOf axis="self"/>
      </dgm:layoutNode>
    </dgm:forEach>
    <dgm:forEach name="Name12" axis="ch" ptType="node" cnt="1">
      <dgm:layoutNode name="text_1" styleLbl="node1">
        <dgm:varLst>
          <dgm:bulletEnabled val="1"/>
        </dgm:varLst>
        <dgm:choose name="Name13">
          <dgm:if name="Name14" func="var" arg="dir" op="equ" val="norm">
            <dgm:alg type="tx">
              <dgm:param type="txAnchorVert" val="b"/>
              <dgm:param type="parTxLTRAlign" val="l"/>
              <dgm:param type="shpTxLTRAlignCh" val="l"/>
              <dgm:param type="parTxRTLAlign" val="l"/>
              <dgm:param type="shpTxRTLAlignCh" val="l"/>
            </dgm:alg>
          </dgm:if>
          <dgm:else name="Name15">
            <dgm:alg type="tx">
              <dgm:param type="txAnchorVert" val="b"/>
              <dgm:param type="parTxLTRAlign" val="r"/>
              <dgm:param type="shpTxLTRAlignCh" val="r"/>
              <dgm:param type="parTxRTLAlign" val="r"/>
              <dgm:param type="shpTxRTLAlignCh" val="r"/>
            </dgm:alg>
          </dgm:else>
        </dgm:choose>
        <dgm:shape xmlns:r="http://schemas.openxmlformats.org/officeDocument/2006/relationships" type="rect" r:blip="" hideGeom="1">
          <dgm:adjLst/>
        </dgm:shape>
        <dgm:presOf axis="desOrSelf" ptType="node"/>
        <dgm:constrLst>
          <dgm:constr type="primFontSz" val="65"/>
          <dgm:constr type="lMarg" refType="primFontSz" fact="0.2"/>
          <dgm:constr type="rMarg" refType="primFontSz" fact="0.2"/>
          <dgm:constr type="tMarg" refType="primFontSz" fact="0.2"/>
          <dgm:constr type="bMarg" refType="primFontSz" fact="0.2"/>
        </dgm:constrLst>
        <dgm:ruleLst>
          <dgm:rule type="primFontSz" val="5" fact="NaN" max="NaN"/>
        </dgm:ruleLst>
      </dgm:layoutNode>
    </dgm:forEach>
    <dgm:choose name="Name16">
      <dgm:if name="Name17" axis="ch" ptType="node" func="cnt" op="gte" val="2">
        <dgm:layoutNode name="linV">
          <dgm:choose name="Name18">
            <dgm:if name="Name19" func="var" arg="dir" op="equ" val="norm">
              <dgm:alg type="lin">
                <dgm:param type="linDir" val="fromT"/>
                <dgm:param type="vertAlign" val="t"/>
                <dgm:param type="fallback" val="1D"/>
                <dgm:param type="horzAlign" val="l"/>
                <dgm:param type="nodeHorzAlign" val="l"/>
              </dgm:alg>
            </dgm:if>
            <dgm:else name="Name20">
              <dgm:alg type="lin">
                <dgm:param type="linDir" val="fromT"/>
                <dgm:param type="vertAlign" val="t"/>
                <dgm:param type="fallback" val="1D"/>
                <dgm:param type="horzAlign" val="r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constrLst>
            <dgm:constr type="w" for="ch" forName="spaceV" val="1"/>
            <dgm:constr type="w" for="ch" forName="pair" refType="w" op="equ"/>
            <dgm:constr type="w" for="des" forName="desText" op="equ"/>
            <dgm:constr type="primFontSz" for="des" forName="desText" op="equ" val="65"/>
          </dgm:constrLst>
          <dgm:forEach name="Name21" axis="ch" ptType="node" st="2">
            <dgm:layoutNode name="pair">
              <dgm:alg type="composite"/>
              <dgm:shape xmlns:r="http://schemas.openxmlformats.org/officeDocument/2006/relationships" r:blip="">
                <dgm:adjLst/>
              </dgm:shape>
              <dgm:choose name="Name22">
                <dgm:if name="Name23" func="var" arg="dir" op="equ" val="norm">
                  <dgm:constrLst>
                    <dgm:constr type="userC"/>
                    <dgm:constr type="l" for="ch" forName="spaceH"/>
                    <dgm:constr type="r" for="ch" forName="spaceH" refType="userC"/>
                    <dgm:constr type="ctrY" for="ch" forName="spaceH" refType="w" fact="0.5"/>
                    <dgm:constr type="h" for="ch" forName="spaceH" val="1"/>
                    <dgm:constr type="w" for="ch" forName="desPictures" refType="h"/>
                    <dgm:constr type="h" for="ch" forName="desPictures" refType="w" refFor="ch" refForName="desPictures" op="equ"/>
                    <dgm:constr type="ctrX" for="ch" forName="desPictures" refType="userC"/>
                    <dgm:constr type="ctrY" for="ch" forName="desPictures" refType="w" fact="0.5"/>
                    <dgm:constr type="l" for="ch" forName="desTextWrapper" refType="r" refFor="ch" refForName="desPictures"/>
                    <dgm:constr type="ctrY" for="ch" forName="desTextWrapper" refType="w" fact="0.5"/>
                    <dgm:constr type="h" for="ch" forName="desTextWrapper" refType="h"/>
                    <dgm:constr type="h" for="des" forName="desText" refType="h"/>
                  </dgm:constrLst>
                </dgm:if>
                <dgm:else name="Name24">
                  <dgm:constrLst>
                    <dgm:constr type="userC"/>
                    <dgm:constr type="r" for="ch" forName="spaceH" refType="w"/>
                    <dgm:constr type="l" for="ch" forName="spaceH" refType="userC"/>
                    <dgm:constr type="ctrY" for="ch" forName="spaceH" refType="w" fact="0.5"/>
                    <dgm:constr type="h" for="ch" forName="spaceH" val="1"/>
                    <dgm:constr type="w" for="ch" forName="desPictures" refType="h"/>
                    <dgm:constr type="h" for="ch" forName="desPictures" refType="w" refFor="ch" refForName="desPictures" op="equ"/>
                    <dgm:constr type="ctrX" for="ch" forName="desPictures" refType="userC"/>
                    <dgm:constr type="ctrY" for="ch" forName="desPictures" refType="w" fact="0.5"/>
                    <dgm:constr type="r" for="ch" forName="desTextWrapper" refType="l" refFor="ch" refForName="desPictures"/>
                    <dgm:constr type="ctrY" for="ch" forName="desTextWrapper" refType="w" fact="0.5"/>
                    <dgm:constr type="h" for="ch" forName="desTextWrapper" refType="h"/>
                    <dgm:constr type="h" for="des" forName="desText" refType="h"/>
                  </dgm:constrLst>
                </dgm:else>
              </dgm:choose>
              <dgm:layoutNode name="spaceH">
                <dgm:alg type="sp"/>
                <dgm:shape xmlns:r="http://schemas.openxmlformats.org/officeDocument/2006/relationships" type="rect" r:blip="" hideGeom="1">
                  <dgm:adjLst/>
                </dgm:shape>
                <dgm:presOf/>
              </dgm:layoutNode>
              <dgm:layoutNode name="desPictures" styleLbl="alignImgPlace1">
                <dgm:alg type="sp"/>
                <dgm:shape xmlns:r="http://schemas.openxmlformats.org/officeDocument/2006/relationships" type="ellipse" r:blip="" blipPhldr="1">
                  <dgm:adjLst/>
                </dgm:shape>
                <dgm:presOf/>
              </dgm:layoutNode>
              <dgm:layoutNode name="desTextWrapper">
                <dgm:choose name="Name25">
                  <dgm:if name="Name26" func="var" arg="dir" op="equ" val="norm">
                    <dgm:alg type="lin">
                      <dgm:param type="horzAlign" val="l"/>
                    </dgm:alg>
                  </dgm:if>
                  <dgm:else name="Name27">
                    <dgm:alg type="lin">
                      <dgm:param type="horzAlign" val="r"/>
                    </dgm:alg>
                  </dgm:else>
                </dgm:choose>
                <dgm:layoutNode name="desText" styleLbl="revTx">
                  <dgm:varLst>
                    <dgm:bulletEnabled val="1"/>
                  </dgm:varLst>
                  <dgm:choose name="Name28">
                    <dgm:if name="Name29" func="var" arg="dir" op="equ" val="norm">
                      <dgm:alg type="tx">
                        <dgm:param type="parTxLTRAlign" val="l"/>
                        <dgm:param type="shpTxLTRAlignCh" val="l"/>
                        <dgm:param type="parTxRTLAlign" val="r"/>
                        <dgm:param type="shpTxRTLAlignCh" val="r"/>
                      </dgm:alg>
                    </dgm:if>
                    <dgm:else name="Name30">
                      <dgm:alg type="tx">
                        <dgm:param type="parTxLTRAlign" val="r"/>
                        <dgm:param type="shpTxLTRAlignCh" val="r"/>
                        <dgm:param type="parTxRTLAlign" val="r"/>
                        <dgm:param type="shpTxRTLAlignCh" val="r"/>
                      </dgm:alg>
                    </dgm:else>
                  </dgm:choose>
                  <dgm:shape xmlns:r="http://schemas.openxmlformats.org/officeDocument/2006/relationships" type="rect" r:blip="">
                    <dgm:adjLst/>
                  </dgm:shape>
                  <dgm:presOf axis="desOrSelf" ptType="node"/>
                  <dgm:constrLst>
                    <dgm:constr type="userW"/>
                    <dgm:constr type="w" refType="userW" fact="0.1"/>
                    <dgm:constr type="lMarg" refType="primFontSz" fact="0.2"/>
                    <dgm:constr type="rMarg" refType="primFontSz" fact="0.2"/>
                    <dgm:constr type="tMarg" refType="primFontSz" fact="0.1"/>
                    <dgm:constr type="bMarg" refType="primFontSz" fact="0.1"/>
                  </dgm:constrLst>
                  <dgm:ruleLst>
                    <dgm:rule type="w" val="NaN" fact="1" max="NaN"/>
                    <dgm:rule type="primFontSz" val="5" fact="NaN" max="NaN"/>
                  </dgm:ruleLst>
                </dgm:layoutNode>
              </dgm:layoutNode>
            </dgm:layoutNode>
            <dgm:forEach name="Name31" axis="followSib" ptType="sibTrans" cnt="1">
              <dgm:layoutNode name="spaceV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</dgm:forEach>
          </dgm:forEach>
        </dgm:layoutNode>
      </dgm:if>
      <dgm:else name="Name32"/>
    </dgm:choose>
    <dgm:layoutNode name="maxNode">
      <dgm:alg type="lin"/>
      <dgm:shape xmlns:r="http://schemas.openxmlformats.org/officeDocument/2006/relationships" r:blip="">
        <dgm:adjLst/>
      </dgm:shape>
      <dgm:presOf/>
      <dgm:constrLst>
        <dgm:constr type="w" for="ch"/>
        <dgm:constr type="h" for="ch"/>
      </dgm:constrLst>
      <dgm:layoutNode name="Name33">
        <dgm:alg type="sp"/>
        <dgm:shape xmlns:r="http://schemas.openxmlformats.org/officeDocument/2006/relationships" r:blip="">
          <dgm:adjLst/>
        </dgm:shape>
        <dgm:presOf/>
      </dgm:layoutNode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2.png"/><Relationship Id="rId7" Type="http://schemas.openxmlformats.org/officeDocument/2006/relationships/diagramLayout" Target="../diagrams/layout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diagramData" Target="../diagrams/data1.xml"/><Relationship Id="rId5" Type="http://schemas.openxmlformats.org/officeDocument/2006/relationships/image" Target="../media/image4.png"/><Relationship Id="rId10" Type="http://schemas.microsoft.com/office/2007/relationships/diagramDrawing" Target="../diagrams/drawing1.xml"/><Relationship Id="rId4" Type="http://schemas.openxmlformats.org/officeDocument/2006/relationships/image" Target="../media/image3.png"/><Relationship Id="rId9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104776</xdr:rowOff>
    </xdr:from>
    <xdr:to>
      <xdr:col>3</xdr:col>
      <xdr:colOff>466725</xdr:colOff>
      <xdr:row>14</xdr:row>
      <xdr:rowOff>104776</xdr:rowOff>
    </xdr:to>
    <xdr:pic macro="[0]!Picture2_Click">
      <xdr:nvPicPr>
        <xdr:cNvPr id="3" name="Picture 2" descr="File:&lt;strong&gt;User&lt;/strong&gt; icon 2.svg - Wikipedi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09" l="0" r="10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1"/>
          <a:ext cx="2838450" cy="2286000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4</xdr:col>
      <xdr:colOff>19051</xdr:colOff>
      <xdr:row>2</xdr:row>
      <xdr:rowOff>123825</xdr:rowOff>
    </xdr:from>
    <xdr:to>
      <xdr:col>7</xdr:col>
      <xdr:colOff>180975</xdr:colOff>
      <xdr:row>14</xdr:row>
      <xdr:rowOff>91284</xdr:rowOff>
    </xdr:to>
    <xdr:pic macro="[0]!Picture3_Click">
      <xdr:nvPicPr>
        <xdr:cNvPr id="4" name="Picture 3" descr="File:Add &lt;strong&gt;user&lt;/strong&gt; icon (blue).svg - Wikipedi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1" y="514350"/>
          <a:ext cx="2771774" cy="2253459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9</xdr:col>
      <xdr:colOff>104774</xdr:colOff>
      <xdr:row>2</xdr:row>
      <xdr:rowOff>123826</xdr:rowOff>
    </xdr:from>
    <xdr:to>
      <xdr:col>12</xdr:col>
      <xdr:colOff>649175</xdr:colOff>
      <xdr:row>14</xdr:row>
      <xdr:rowOff>107556</xdr:rowOff>
    </xdr:to>
    <xdr:pic macro="[0]!Picture4_Click">
      <xdr:nvPicPr>
        <xdr:cNvPr id="5" name="Picture 4" descr="File:OOjs UI icon userAvatar.svg - Wikimedia Common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299" y="514351"/>
          <a:ext cx="2801826" cy="2269730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13</xdr:col>
      <xdr:colOff>123826</xdr:colOff>
      <xdr:row>2</xdr:row>
      <xdr:rowOff>123824</xdr:rowOff>
    </xdr:from>
    <xdr:to>
      <xdr:col>16</xdr:col>
      <xdr:colOff>276633</xdr:colOff>
      <xdr:row>14</xdr:row>
      <xdr:rowOff>99419</xdr:rowOff>
    </xdr:to>
    <xdr:pic macro="[0]!Picture5_Click">
      <xdr:nvPicPr>
        <xdr:cNvPr id="6" name="Picture 5" descr="File:New &lt;strong&gt;user&lt;/strong&gt; icon-01.svg - Wikimedia Common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1" y="514349"/>
          <a:ext cx="2610257" cy="2261595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5</xdr:col>
      <xdr:colOff>133350</xdr:colOff>
      <xdr:row>20</xdr:row>
      <xdr:rowOff>66675</xdr:rowOff>
    </xdr:from>
    <xdr:to>
      <xdr:col>11</xdr:col>
      <xdr:colOff>361950</xdr:colOff>
      <xdr:row>26</xdr:row>
      <xdr:rowOff>152399</xdr:rowOff>
    </xdr:to>
    <xdr:graphicFrame macro="[0]!Picture6_Click">
      <xdr:nvGraphicFramePr>
        <xdr:cNvPr id="35" name="Diagram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12</xdr:row>
          <xdr:rowOff>171450</xdr:rowOff>
        </xdr:from>
        <xdr:to>
          <xdr:col>6</xdr:col>
          <xdr:colOff>200025</xdr:colOff>
          <xdr:row>16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12</xdr:row>
          <xdr:rowOff>171450</xdr:rowOff>
        </xdr:from>
        <xdr:to>
          <xdr:col>6</xdr:col>
          <xdr:colOff>200025</xdr:colOff>
          <xdr:row>16</xdr:row>
          <xdr:rowOff>47625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285750</xdr:colOff>
          <xdr:row>4</xdr:row>
          <xdr:rowOff>0</xdr:rowOff>
        </xdr:to>
        <xdr:sp macro="" textlink="">
          <xdr:nvSpPr>
            <xdr:cNvPr id="6145" name="ADC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7169" name="AF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T" displayName="TART" ref="B5:H16" totalsRowShown="0" headerRowDxfId="83" dataDxfId="82">
  <tableColumns count="7">
    <tableColumn id="1" xr3:uid="{00000000-0010-0000-0000-000001000000}" name="REF ARTICLE" dataDxfId="81"/>
    <tableColumn id="2" xr3:uid="{00000000-0010-0000-0000-000002000000}" name="DESIGNATION" dataDxfId="80"/>
    <tableColumn id="3" xr3:uid="{00000000-0010-0000-0000-000003000000}" name="PRIX U" dataDxfId="79"/>
    <tableColumn id="4" xr3:uid="{00000000-0010-0000-0000-000004000000}" name="QTE STOCK" dataDxfId="78">
      <calculatedColumnFormula>SUMIF(TACHAT[N° ART],TART[[#This Row],[REF ARTICLE]],TACHAT[QTE])-SUMIF(TVENTE[N° ART],TART[[#This Row],[REF ARTICLE]],TVENTE[QTE])</calculatedColumnFormula>
    </tableColumn>
    <tableColumn id="5" xr3:uid="{00000000-0010-0000-0000-000005000000}" name="VALEUR STOCK" dataDxfId="77">
      <calculatedColumnFormula>D6*E6</calculatedColumnFormula>
    </tableColumn>
    <tableColumn id="6" xr3:uid="{00000000-0010-0000-0000-000006000000}" name="STOCK MIN" dataDxfId="76"/>
    <tableColumn id="7" xr3:uid="{00000000-0010-0000-0000-000007000000}" name="ALERT" dataDxfId="75">
      <calculatedColumnFormula array="1">IF(TART[[#This Row],[STOCK MIN]]&gt;TART[[#This Row],[QTE STOCK]],"STOCK FAIBLE !!!","")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CLIENT" displayName="TCLIENT" ref="B5:N9" totalsRowShown="0">
  <autoFilter ref="B5:N9" xr:uid="{00000000-0009-0000-0100-000002000000}"/>
  <tableColumns count="13">
    <tableColumn id="1" xr3:uid="{00000000-0010-0000-0100-000001000000}" name="CLIENT"/>
    <tableColumn id="2" xr3:uid="{00000000-0010-0000-0100-000002000000}" name="VILLE"/>
    <tableColumn id="3" xr3:uid="{00000000-0010-0000-0100-000003000000}" name="WILAYA"/>
    <tableColumn id="4" xr3:uid="{00000000-0010-0000-0100-000004000000}" name="TELEPHONE" dataDxfId="74"/>
    <tableColumn id="5" xr3:uid="{00000000-0010-0000-0100-000005000000}" name="CHIFFRE D'AFFAIRE" dataDxfId="73">
      <calculatedColumnFormula>SUMIF(TVENTE[CLIENT],TCLIENT[[#This Row],[CLIENT]],TVENTE[TOTAL])</calculatedColumnFormula>
    </tableColumn>
    <tableColumn id="6" xr3:uid="{00000000-0010-0000-0100-000006000000}" name="TOTAL OR" dataDxfId="72">
      <calculatedColumnFormula>SUMIF(TVENTE[CLIENT],TCLIENT[[#This Row],[CLIENT]],TVENTE[QTE])</calculatedColumnFormula>
    </tableColumn>
    <tableColumn id="7" xr3:uid="{00000000-0010-0000-0100-000007000000}" name="TOTAL VO" dataDxfId="71">
      <calculatedColumnFormula>SUMIF(TVC[CLIENT],TCLIENT[[#This Row],[CLIENT]],TVC[VERSEMENT OR])</calculatedColumnFormula>
    </tableColumn>
    <tableColumn id="8" xr3:uid="{00000000-0010-0000-0100-000008000000}" name="TOTAL VA" dataDxfId="70">
      <calculatedColumnFormula>SUMIF(TVC[CLIENT],TCLIENT[[#This Row],[CLIENT]],TVC[VERSEMENT ARGENT])</calculatedColumnFormula>
    </tableColumn>
    <tableColumn id="9" xr3:uid="{00000000-0010-0000-0100-000009000000}" name="TOTAL PERTE" dataDxfId="69">
      <calculatedColumnFormula>SUMIF(TVC[CLIENT],TCLIENT[[#This Row],[CLIENT]],TVC[ECART])</calculatedColumnFormula>
    </tableColumn>
    <tableColumn id="10" xr3:uid="{00000000-0010-0000-0100-00000A000000}" name="TOTAL RO" dataDxfId="68">
      <calculatedColumnFormula>SUMIF(TVC[CLIENT],TCLIENT[[#This Row],[CLIENT]],TVC[RETOUR OR])</calculatedColumnFormula>
    </tableColumn>
    <tableColumn id="11" xr3:uid="{00000000-0010-0000-0100-00000B000000}" name="TOTAL RA" dataDxfId="67">
      <calculatedColumnFormula>SUMIF(TVC[CLIENT],TCLIENT[[#This Row],[CLIENT]],TVC[RETOUR ARGENT])</calculatedColumnFormula>
    </tableColumn>
    <tableColumn id="12" xr3:uid="{00000000-0010-0000-0100-00000C000000}" name="RESTE O" dataDxfId="66">
      <calculatedColumnFormula>(TCLIENT[[#This Row],[TOTAL OR]]+TCLIENT[[#This Row],[TOTAL PERTE]])-(TCLIENT[[#This Row],[TOTAL VO]]+TCLIENT[[#This Row],[TOTAL RO]])</calculatedColumnFormula>
    </tableColumn>
    <tableColumn id="13" xr3:uid="{00000000-0010-0000-0100-00000D000000}" name="RESTE A" dataDxfId="65">
      <calculatedColumnFormula>TCLIENT[[#This Row],[CHIFFRE D''AFFAIRE]]-(TCLIENT[[#This Row],[TOTAL VA]]+TCLIENT[[#This Row],[TOTAL RA]])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FOURNISSEUR" displayName="TFOURNISSEUR" ref="B5:N8" totalsRowShown="0" headerRowDxfId="64" dataDxfId="63">
  <autoFilter ref="B5:N8" xr:uid="{00000000-0009-0000-0100-000001000000}"/>
  <tableColumns count="13">
    <tableColumn id="1" xr3:uid="{00000000-0010-0000-0200-000001000000}" name="FOURNISSEUR" dataDxfId="62"/>
    <tableColumn id="2" xr3:uid="{00000000-0010-0000-0200-000002000000}" name="VILLE" dataDxfId="61"/>
    <tableColumn id="3" xr3:uid="{00000000-0010-0000-0200-000003000000}" name="WILAYA" dataDxfId="60"/>
    <tableColumn id="4" xr3:uid="{00000000-0010-0000-0200-000004000000}" name="TELEPHONE" dataDxfId="59"/>
    <tableColumn id="5" xr3:uid="{00000000-0010-0000-0200-000005000000}" name="CHIFFRE D'AFFAIRE" dataDxfId="58">
      <calculatedColumnFormula>SUMIF(TACHAT[FOURNISSEUR],TFOURNISSEUR[[#This Row],[FOURNISSEUR]],TACHAT[TOTAL])</calculatedColumnFormula>
    </tableColumn>
    <tableColumn id="6" xr3:uid="{00000000-0010-0000-0200-000006000000}" name="TOTAL OR" dataDxfId="57">
      <calculatedColumnFormula>SUMIF(TACHAT[FOURNISSEUR],TFOURNISSEUR[[#This Row],[FOURNISSEUR]],TACHAT[QTE])</calculatedColumnFormula>
    </tableColumn>
    <tableColumn id="7" xr3:uid="{00000000-0010-0000-0200-000007000000}" name="TOTAL VO" dataDxfId="56">
      <calculatedColumnFormula>SUMIF(TVF[FOURNISSEUR],TFOURNISSEUR[[#This Row],[FOURNISSEUR]],TVF[VERSEMENT OR])</calculatedColumnFormula>
    </tableColumn>
    <tableColumn id="8" xr3:uid="{00000000-0010-0000-0200-000008000000}" name="TOTAL VA" dataDxfId="55">
      <calculatedColumnFormula>SUMIF(TVF[FOURNISSEUR],TFOURNISSEUR[[#This Row],[FOURNISSEUR]],TVF[VERSEMENT ARGENT])</calculatedColumnFormula>
    </tableColumn>
    <tableColumn id="9" xr3:uid="{00000000-0010-0000-0200-000009000000}" name="TOTAL PERTE" dataDxfId="54">
      <calculatedColumnFormula>SUMIF(TVF[FOURNISSEUR],TFOURNISSEUR[[#This Row],[FOURNISSEUR]],TVF[ECART])</calculatedColumnFormula>
    </tableColumn>
    <tableColumn id="10" xr3:uid="{00000000-0010-0000-0200-00000A000000}" name="TOTAL RO" dataDxfId="53">
      <calculatedColumnFormula>SUMIF(TVF[FOURNISSEUR],TFOURNISSEUR[[#This Row],[FOURNISSEUR]],TVF[RETOUR OR])</calculatedColumnFormula>
    </tableColumn>
    <tableColumn id="11" xr3:uid="{00000000-0010-0000-0200-00000B000000}" name="TOTAL RA" dataDxfId="52">
      <calculatedColumnFormula>SUMIF(TVF[FOURNISSEUR],TFOURNISSEUR[[#This Row],[FOURNISSEUR]],TVF[RETOUR ARGENT])</calculatedColumnFormula>
    </tableColumn>
    <tableColumn id="12" xr3:uid="{00000000-0010-0000-0200-00000C000000}" name="RESTE O" dataDxfId="51">
      <calculatedColumnFormula>TFOURNISSEUR[[#This Row],[TOTAL OR]]+TFOURNISSEUR[[#This Row],[TOTAL PERTE]]-TFOURNISSEUR[[#This Row],[TOTAL VO]]-TFOURNISSEUR[[#This Row],[TOTAL RO]]</calculatedColumnFormula>
    </tableColumn>
    <tableColumn id="13" xr3:uid="{00000000-0010-0000-0200-00000D000000}" name="RESTE A" dataDxfId="50">
      <calculatedColumnFormula>TFOURNISSEUR[[#This Row],[CHIFFRE D''AFFAIRE]]-TFOURNISSEUR[[#This Row],[TOTAL VA]]-TFOURNISSEUR[[#This Row],[TOTAL RA]]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CHAT" displayName="TACHAT" ref="B5:I11" totalsRowShown="0" headerRowDxfId="48" dataDxfId="47">
  <tableColumns count="8">
    <tableColumn id="1" xr3:uid="{00000000-0010-0000-0300-000001000000}" name="N° D'ACHAT" dataDxfId="46"/>
    <tableColumn id="2" xr3:uid="{00000000-0010-0000-0300-000002000000}" name="DATE" dataDxfId="45"/>
    <tableColumn id="3" xr3:uid="{00000000-0010-0000-0300-000003000000}" name="N° ART" dataDxfId="44"/>
    <tableColumn id="4" xr3:uid="{00000000-0010-0000-0300-000004000000}" name="NOM ART" dataDxfId="43"/>
    <tableColumn id="5" xr3:uid="{00000000-0010-0000-0300-000005000000}" name="QTE" dataDxfId="42"/>
    <tableColumn id="6" xr3:uid="{00000000-0010-0000-0300-000006000000}" name="PU" dataDxfId="41"/>
    <tableColumn id="7" xr3:uid="{00000000-0010-0000-0300-000007000000}" name="TOTAL" dataDxfId="40">
      <calculatedColumnFormula>TACHAT[QTE]*TACHAT[PU]</calculatedColumnFormula>
    </tableColumn>
    <tableColumn id="8" xr3:uid="{00000000-0010-0000-0300-000008000000}" name="FOURNISSEUR" dataDxfId="3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VF" displayName="TVF" ref="B5:M9" totalsRowShown="0" headerRowDxfId="37" dataDxfId="36">
  <tableColumns count="12">
    <tableColumn id="1" xr3:uid="{00000000-0010-0000-0400-000001000000}" name="N° VERSEMENT" dataDxfId="35"/>
    <tableColumn id="2" xr3:uid="{00000000-0010-0000-0400-000002000000}" name="FOURNISSEUR" dataDxfId="34"/>
    <tableColumn id="3" xr3:uid="{00000000-0010-0000-0400-000003000000}" name="DATE" dataDxfId="33"/>
    <tableColumn id="4" xr3:uid="{00000000-0010-0000-0400-000004000000}" name="VERSEMENT OR" dataDxfId="32"/>
    <tableColumn id="5" xr3:uid="{00000000-0010-0000-0400-000005000000}" name="VERSEMENT ARGENT" dataDxfId="31"/>
    <tableColumn id="6" xr3:uid="{00000000-0010-0000-0400-000006000000}" name="RETOUR OR" dataDxfId="30"/>
    <tableColumn id="7" xr3:uid="{00000000-0010-0000-0400-000007000000}" name="RETOUR ARGENT" dataDxfId="29"/>
    <tableColumn id="8" xr3:uid="{00000000-0010-0000-0400-000008000000}" name="OR V" dataDxfId="28"/>
    <tableColumn id="9" xr3:uid="{00000000-0010-0000-0400-000009000000}" name="FONTE" dataDxfId="27"/>
    <tableColumn id="10" xr3:uid="{00000000-0010-0000-0400-00000A000000}" name="TITRE " dataDxfId="26"/>
    <tableColumn id="11" xr3:uid="{00000000-0010-0000-0400-00000B000000}" name="NET 750" dataDxfId="25">
      <calculatedColumnFormula>(TVF[OR V]-TVF[FONTE])*TVF[[TITRE ]]/750</calculatedColumnFormula>
    </tableColumn>
    <tableColumn id="12" xr3:uid="{00000000-0010-0000-0400-00000C000000}" name="ECART" dataDxfId="24">
      <calculatedColumnFormula>TVF[OR V]-TVF[NET 750]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VC" displayName="TVC" ref="B5:N10" totalsRowShown="0">
  <tableColumns count="13">
    <tableColumn id="1" xr3:uid="{00000000-0010-0000-0500-000001000000}" name="N° VERSEMENT" dataDxfId="23"/>
    <tableColumn id="2" xr3:uid="{00000000-0010-0000-0500-000002000000}" name="CLIENT" dataDxfId="22"/>
    <tableColumn id="3" xr3:uid="{00000000-0010-0000-0500-000003000000}" name="DATE" dataDxfId="21"/>
    <tableColumn id="4" xr3:uid="{00000000-0010-0000-0500-000004000000}" name="VERSEMENT OR" dataDxfId="20"/>
    <tableColumn id="5" xr3:uid="{00000000-0010-0000-0500-000005000000}" name="VERSEMENT ARGENT" dataDxfId="19"/>
    <tableColumn id="6" xr3:uid="{00000000-0010-0000-0500-000006000000}" name="RETOUR OR" dataDxfId="18"/>
    <tableColumn id="7" xr3:uid="{00000000-0010-0000-0500-000007000000}" name="RETOUR ARGENT" dataDxfId="17"/>
    <tableColumn id="8" xr3:uid="{00000000-0010-0000-0500-000008000000}" name="OR V" dataDxfId="16"/>
    <tableColumn id="9" xr3:uid="{00000000-0010-0000-0500-000009000000}" name="FONTE" dataDxfId="15"/>
    <tableColumn id="10" xr3:uid="{00000000-0010-0000-0500-00000A000000}" name="TITRE " dataDxfId="14"/>
    <tableColumn id="11" xr3:uid="{00000000-0010-0000-0500-00000B000000}" name="NET 750" dataDxfId="13">
      <calculatedColumnFormula>(TVC[OR V]-TVC[FONTE])*TVC[[TITRE ]]/750</calculatedColumnFormula>
    </tableColumn>
    <tableColumn id="12" xr3:uid="{00000000-0010-0000-0500-00000C000000}" name="ECART" dataDxfId="12">
      <calculatedColumnFormula>TVC[OR V]-TVC[NET 750]</calculatedColumnFormula>
    </tableColumn>
    <tableColumn id="13" xr3:uid="{00000000-0010-0000-0500-00000D000000}" name="LIGNE" dataDxfId="11" dataCellStyle="Comma">
      <calculatedColumnFormula>ROW()</calculatedColumnFormula>
    </tableColumn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VENTE" displayName="TVENTE" ref="B5:J10" totalsRowShown="0" dataDxfId="10">
  <tableColumns count="9">
    <tableColumn id="1" xr3:uid="{00000000-0010-0000-0600-000001000000}" name="N° DE VENTE" dataDxfId="9"/>
    <tableColumn id="2" xr3:uid="{00000000-0010-0000-0600-000002000000}" name="DATE" dataDxfId="8"/>
    <tableColumn id="3" xr3:uid="{00000000-0010-0000-0600-000003000000}" name="N° ART" dataDxfId="7"/>
    <tableColumn id="4" xr3:uid="{00000000-0010-0000-0600-000004000000}" name="DESIGNATION D'ARTICLE" dataDxfId="6"/>
    <tableColumn id="5" xr3:uid="{00000000-0010-0000-0600-000005000000}" name="QTE" dataDxfId="5"/>
    <tableColumn id="6" xr3:uid="{00000000-0010-0000-0600-000006000000}" name="PU" dataDxfId="4"/>
    <tableColumn id="7" xr3:uid="{00000000-0010-0000-0600-000007000000}" name="TOTAL" dataDxfId="3">
      <calculatedColumnFormula array="1">TVENTE[[#This Row],[PU]]*TVENTE[[#This Row],[QTE]]</calculatedColumnFormula>
    </tableColumn>
    <tableColumn id="8" xr3:uid="{00000000-0010-0000-0600-000008000000}" name="CLIENT" dataDxfId="2"/>
    <tableColumn id="18" xr3:uid="{00000000-0010-0000-0600-000012000000}" name="N° LIGNE" dataDxfId="1">
      <calculatedColumnFormula>ROW()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3"/>
  <dimension ref="A1:AI48"/>
  <sheetViews>
    <sheetView workbookViewId="0">
      <selection activeCell="C23" sqref="C23"/>
    </sheetView>
  </sheetViews>
  <sheetFormatPr defaultColWidth="11.42578125" defaultRowHeight="15" x14ac:dyDescent="0.25"/>
  <cols>
    <col min="1" max="1" width="11.42578125" style="81"/>
    <col min="2" max="2" width="12.7109375" style="81" customWidth="1"/>
    <col min="3" max="3" width="11.42578125" style="81"/>
    <col min="4" max="4" width="9.5703125" style="81" customWidth="1"/>
    <col min="5" max="6" width="11.42578125" style="81"/>
    <col min="7" max="7" width="16.28515625" style="81" customWidth="1"/>
    <col min="8" max="8" width="3.5703125" style="81" customWidth="1"/>
    <col min="9" max="9" width="1.5703125" style="81" customWidth="1"/>
    <col min="10" max="10" width="11" style="81" customWidth="1"/>
    <col min="11" max="12" width="11.42578125" style="81"/>
    <col min="13" max="13" width="11.7109375" style="81" customWidth="1"/>
    <col min="14" max="14" width="17" style="81" bestFit="1" customWidth="1"/>
    <col min="15" max="15" width="8.42578125" style="81" customWidth="1"/>
    <col min="16" max="16" width="11.42578125" style="81"/>
    <col min="17" max="17" width="5.28515625" style="81" customWidth="1"/>
    <col min="18" max="18" width="1" style="81" customWidth="1"/>
    <col min="19" max="16384" width="11.42578125" style="81"/>
  </cols>
  <sheetData>
    <row r="1" spans="1:35" ht="15" customHeight="1" x14ac:dyDescent="0.25">
      <c r="A1" s="120" t="s">
        <v>201</v>
      </c>
      <c r="B1" s="121"/>
      <c r="C1" s="121"/>
      <c r="D1" s="121"/>
      <c r="E1" s="121"/>
      <c r="F1" s="121"/>
      <c r="G1" s="121"/>
      <c r="H1" s="122"/>
      <c r="I1" s="86"/>
      <c r="J1" s="120" t="s">
        <v>204</v>
      </c>
      <c r="K1" s="121"/>
      <c r="L1" s="121"/>
      <c r="M1" s="121"/>
      <c r="N1" s="121"/>
      <c r="O1" s="121"/>
      <c r="P1" s="121"/>
      <c r="Q1" s="122"/>
      <c r="R1" s="86"/>
      <c r="AA1" t="s">
        <v>87</v>
      </c>
      <c r="AB1" s="21" t="s">
        <v>51</v>
      </c>
      <c r="AC1" t="s">
        <v>52</v>
      </c>
      <c r="AD1" t="s">
        <v>88</v>
      </c>
      <c r="AE1" t="s">
        <v>54</v>
      </c>
      <c r="AF1" t="s">
        <v>55</v>
      </c>
      <c r="AG1" t="s">
        <v>56</v>
      </c>
      <c r="AH1" t="s">
        <v>0</v>
      </c>
      <c r="AI1" t="s">
        <v>98</v>
      </c>
    </row>
    <row r="2" spans="1:35" ht="15.75" customHeight="1" thickBot="1" x14ac:dyDescent="0.3">
      <c r="A2" s="123"/>
      <c r="B2" s="124"/>
      <c r="C2" s="124"/>
      <c r="D2" s="124"/>
      <c r="E2" s="124"/>
      <c r="F2" s="124"/>
      <c r="G2" s="124"/>
      <c r="H2" s="125"/>
      <c r="I2" s="86"/>
      <c r="J2" s="123"/>
      <c r="K2" s="124"/>
      <c r="L2" s="124"/>
      <c r="M2" s="124"/>
      <c r="N2" s="124"/>
      <c r="O2" s="124"/>
      <c r="P2" s="124"/>
      <c r="Q2" s="125"/>
      <c r="R2" s="86"/>
      <c r="AA2" s="2" t="s">
        <v>183</v>
      </c>
      <c r="AB2" s="20" t="s">
        <v>184</v>
      </c>
      <c r="AC2" s="2" t="s">
        <v>21</v>
      </c>
      <c r="AD2" s="2" t="s">
        <v>22</v>
      </c>
      <c r="AE2" s="35">
        <v>800</v>
      </c>
      <c r="AF2" s="18">
        <v>700</v>
      </c>
      <c r="AG2" s="11">
        <v>560000</v>
      </c>
      <c r="AH2" s="2" t="s">
        <v>78</v>
      </c>
      <c r="AI2" s="19">
        <v>6</v>
      </c>
    </row>
    <row r="3" spans="1:35" ht="20.25" x14ac:dyDescent="0.5">
      <c r="A3" s="78"/>
      <c r="B3" s="82"/>
      <c r="C3" s="78"/>
      <c r="D3" s="78"/>
      <c r="E3" s="78"/>
      <c r="F3" s="78"/>
      <c r="G3" s="78"/>
      <c r="H3" s="78"/>
      <c r="I3" s="86"/>
      <c r="J3" s="78"/>
      <c r="K3" s="78"/>
      <c r="L3" s="78"/>
      <c r="M3" s="78"/>
      <c r="N3" s="78"/>
      <c r="O3" s="79"/>
      <c r="P3" s="78"/>
      <c r="Q3" s="80"/>
      <c r="R3" s="86"/>
      <c r="AA3" s="2" t="s">
        <v>185</v>
      </c>
      <c r="AB3" s="20" t="s">
        <v>184</v>
      </c>
      <c r="AC3" s="2" t="s">
        <v>21</v>
      </c>
      <c r="AD3" s="2" t="s">
        <v>22</v>
      </c>
      <c r="AE3" s="35">
        <v>530</v>
      </c>
      <c r="AF3" s="18">
        <v>700</v>
      </c>
      <c r="AG3" s="11">
        <v>371000</v>
      </c>
      <c r="AH3" s="2" t="s">
        <v>81</v>
      </c>
      <c r="AI3" s="19">
        <v>7</v>
      </c>
    </row>
    <row r="4" spans="1:35" ht="20.25" x14ac:dyDescent="0.5">
      <c r="A4" s="78"/>
      <c r="B4" s="83"/>
      <c r="C4" s="83"/>
      <c r="D4" s="83"/>
      <c r="E4" s="83"/>
      <c r="F4" s="83"/>
      <c r="G4" s="84"/>
      <c r="H4" s="78"/>
      <c r="I4" s="86"/>
      <c r="J4" s="78"/>
      <c r="K4" s="78"/>
      <c r="L4" s="78"/>
      <c r="M4" s="78"/>
      <c r="N4" s="78"/>
      <c r="O4" s="79"/>
      <c r="P4" s="78"/>
      <c r="Q4" s="80"/>
      <c r="R4" s="86"/>
      <c r="AA4" s="2" t="s">
        <v>190</v>
      </c>
      <c r="AB4" s="20" t="s">
        <v>191</v>
      </c>
      <c r="AC4" s="2" t="s">
        <v>18</v>
      </c>
      <c r="AD4" s="2" t="s">
        <v>19</v>
      </c>
      <c r="AE4" s="35">
        <v>100</v>
      </c>
      <c r="AF4" s="18">
        <v>500</v>
      </c>
      <c r="AG4" s="11">
        <v>50000</v>
      </c>
      <c r="AH4" s="2" t="s">
        <v>154</v>
      </c>
      <c r="AI4" s="19">
        <v>8</v>
      </c>
    </row>
    <row r="5" spans="1:35" ht="20.25" x14ac:dyDescent="0.5">
      <c r="A5" s="78"/>
      <c r="B5" s="83"/>
      <c r="C5" s="83"/>
      <c r="D5" s="83"/>
      <c r="E5" s="83"/>
      <c r="F5" s="83"/>
      <c r="G5" s="84"/>
      <c r="H5" s="78"/>
      <c r="I5" s="86"/>
      <c r="J5" s="78"/>
      <c r="K5" s="78"/>
      <c r="L5" s="78"/>
      <c r="M5" s="78"/>
      <c r="N5" s="78"/>
      <c r="O5" s="79"/>
      <c r="P5" s="78"/>
      <c r="Q5" s="80"/>
      <c r="R5" s="86"/>
      <c r="AA5" s="2" t="s">
        <v>192</v>
      </c>
      <c r="AB5" s="20" t="s">
        <v>191</v>
      </c>
      <c r="AC5" s="2" t="s">
        <v>31</v>
      </c>
      <c r="AD5" s="2" t="s">
        <v>32</v>
      </c>
      <c r="AE5" s="35">
        <v>150</v>
      </c>
      <c r="AF5" s="18">
        <v>1250</v>
      </c>
      <c r="AG5" s="11">
        <v>187500</v>
      </c>
      <c r="AH5" s="2" t="s">
        <v>8</v>
      </c>
      <c r="AI5" s="19">
        <v>9</v>
      </c>
    </row>
    <row r="6" spans="1:35" ht="20.25" x14ac:dyDescent="0.5">
      <c r="A6" s="78"/>
      <c r="B6" s="83"/>
      <c r="C6" s="83"/>
      <c r="D6" s="83"/>
      <c r="E6" s="83"/>
      <c r="F6" s="83"/>
      <c r="G6" s="84"/>
      <c r="H6" s="78"/>
      <c r="I6" s="86"/>
      <c r="J6" s="78"/>
      <c r="K6" s="78"/>
      <c r="L6" s="78"/>
      <c r="M6" s="78"/>
      <c r="N6" s="78"/>
      <c r="O6" s="79"/>
      <c r="P6" s="78"/>
      <c r="Q6" s="80"/>
      <c r="R6" s="86"/>
      <c r="AA6" s="2" t="s">
        <v>193</v>
      </c>
      <c r="AB6" s="20" t="s">
        <v>191</v>
      </c>
      <c r="AC6" s="2" t="s">
        <v>29</v>
      </c>
      <c r="AD6" s="2" t="s">
        <v>30</v>
      </c>
      <c r="AE6" s="35">
        <v>16</v>
      </c>
      <c r="AF6" s="18">
        <v>1000</v>
      </c>
      <c r="AG6" s="11">
        <v>16000</v>
      </c>
      <c r="AH6" s="2" t="s">
        <v>8</v>
      </c>
      <c r="AI6" s="19">
        <v>10</v>
      </c>
    </row>
    <row r="7" spans="1:35" ht="20.25" x14ac:dyDescent="0.5">
      <c r="A7" s="78"/>
      <c r="B7" s="83"/>
      <c r="C7" s="83"/>
      <c r="D7" s="83"/>
      <c r="E7" s="83"/>
      <c r="F7" s="83"/>
      <c r="G7" s="84"/>
      <c r="H7" s="78"/>
      <c r="I7" s="86"/>
      <c r="J7" s="78"/>
      <c r="K7" s="78"/>
      <c r="L7" s="78"/>
      <c r="M7" s="78"/>
      <c r="N7" s="78"/>
      <c r="O7" s="79"/>
      <c r="P7" s="78"/>
      <c r="Q7" s="80"/>
      <c r="R7" s="86"/>
    </row>
    <row r="8" spans="1:35" ht="20.25" x14ac:dyDescent="0.5">
      <c r="A8" s="78"/>
      <c r="B8" s="78"/>
      <c r="C8" s="78"/>
      <c r="D8" s="78"/>
      <c r="E8" s="78"/>
      <c r="F8" s="78"/>
      <c r="G8" s="78"/>
      <c r="H8" s="78"/>
      <c r="I8" s="86"/>
      <c r="J8" s="78"/>
      <c r="K8" s="78"/>
      <c r="L8" s="78"/>
      <c r="M8" s="78"/>
      <c r="N8" s="78"/>
      <c r="O8" s="79"/>
      <c r="P8" s="78"/>
      <c r="Q8" s="80"/>
      <c r="R8" s="86"/>
    </row>
    <row r="9" spans="1:35" ht="20.25" x14ac:dyDescent="0.5">
      <c r="A9" s="78"/>
      <c r="B9" s="82"/>
      <c r="C9" s="78"/>
      <c r="D9" s="78"/>
      <c r="E9" s="78"/>
      <c r="F9" s="78"/>
      <c r="G9" s="78"/>
      <c r="H9" s="78"/>
      <c r="I9" s="86"/>
      <c r="J9" s="78"/>
      <c r="K9" s="78"/>
      <c r="L9" s="78"/>
      <c r="M9" s="78"/>
      <c r="N9" s="78"/>
      <c r="O9" s="79"/>
      <c r="P9" s="78"/>
      <c r="Q9" s="80"/>
      <c r="R9" s="86"/>
    </row>
    <row r="10" spans="1:35" ht="20.25" x14ac:dyDescent="0.5">
      <c r="A10" s="78"/>
      <c r="B10" s="83"/>
      <c r="C10" s="83"/>
      <c r="D10" s="83"/>
      <c r="E10" s="83"/>
      <c r="F10" s="83"/>
      <c r="G10" s="85"/>
      <c r="H10" s="78"/>
      <c r="I10" s="86"/>
      <c r="J10" s="78"/>
      <c r="K10" s="78"/>
      <c r="L10" s="78"/>
      <c r="M10" s="78"/>
      <c r="N10" s="78"/>
      <c r="O10" s="79"/>
      <c r="P10" s="78"/>
      <c r="Q10" s="80"/>
      <c r="R10" s="86"/>
    </row>
    <row r="11" spans="1:35" ht="20.25" x14ac:dyDescent="0.5">
      <c r="A11" s="78"/>
      <c r="B11" s="83"/>
      <c r="C11" s="83"/>
      <c r="D11" s="83"/>
      <c r="E11" s="83"/>
      <c r="F11" s="83"/>
      <c r="G11" s="85"/>
      <c r="H11" s="78"/>
      <c r="I11" s="86"/>
      <c r="J11" s="78"/>
      <c r="K11" s="78"/>
      <c r="L11" s="78"/>
      <c r="M11" s="78"/>
      <c r="N11" s="78"/>
      <c r="O11" s="79"/>
      <c r="P11" s="78"/>
      <c r="Q11" s="80"/>
      <c r="R11" s="86"/>
    </row>
    <row r="12" spans="1:35" ht="20.25" x14ac:dyDescent="0.5">
      <c r="A12" s="78"/>
      <c r="B12" s="83"/>
      <c r="C12" s="83"/>
      <c r="D12" s="83"/>
      <c r="E12" s="83"/>
      <c r="F12" s="83"/>
      <c r="G12" s="85"/>
      <c r="H12" s="78"/>
      <c r="I12" s="86"/>
      <c r="J12" s="78"/>
      <c r="K12" s="78"/>
      <c r="L12" s="78"/>
      <c r="M12" s="78"/>
      <c r="N12" s="78"/>
      <c r="O12" s="79"/>
      <c r="P12" s="78"/>
      <c r="Q12" s="80"/>
      <c r="R12" s="86"/>
    </row>
    <row r="13" spans="1:35" ht="20.25" x14ac:dyDescent="0.5">
      <c r="A13" s="78"/>
      <c r="B13" s="83"/>
      <c r="C13" s="83"/>
      <c r="D13" s="83"/>
      <c r="E13" s="83"/>
      <c r="F13" s="83"/>
      <c r="G13" s="85"/>
      <c r="H13" s="78"/>
      <c r="I13" s="86"/>
      <c r="J13" s="78"/>
      <c r="K13" s="78"/>
      <c r="L13" s="78"/>
      <c r="M13" s="78"/>
      <c r="N13" s="78"/>
      <c r="O13" s="79"/>
      <c r="P13" s="78"/>
      <c r="Q13" s="80"/>
      <c r="R13" s="86"/>
    </row>
    <row r="14" spans="1:35" ht="20.25" x14ac:dyDescent="0.5">
      <c r="A14" s="78"/>
      <c r="B14" s="78"/>
      <c r="C14" s="78"/>
      <c r="D14" s="78"/>
      <c r="E14" s="78"/>
      <c r="F14" s="78"/>
      <c r="G14" s="78"/>
      <c r="H14" s="78"/>
      <c r="I14" s="86"/>
      <c r="J14" s="78"/>
      <c r="K14" s="78"/>
      <c r="L14" s="78"/>
      <c r="M14" s="78"/>
      <c r="N14" s="78"/>
      <c r="O14" s="79"/>
      <c r="P14" s="78"/>
      <c r="Q14" s="80"/>
      <c r="R14" s="86"/>
    </row>
    <row r="15" spans="1:35" ht="21" thickBot="1" x14ac:dyDescent="0.55000000000000004">
      <c r="A15" s="78"/>
      <c r="B15" s="78"/>
      <c r="C15" s="78"/>
      <c r="D15" s="78"/>
      <c r="E15" s="78"/>
      <c r="F15" s="78"/>
      <c r="G15" s="78"/>
      <c r="H15" s="78"/>
      <c r="I15" s="86"/>
      <c r="J15" s="78"/>
      <c r="K15" s="78"/>
      <c r="L15" s="78"/>
      <c r="M15" s="78"/>
      <c r="N15" s="78"/>
      <c r="O15" s="79"/>
      <c r="P15" s="78"/>
      <c r="Q15" s="80"/>
      <c r="R15" s="86"/>
    </row>
    <row r="16" spans="1:35" ht="21" hidden="1" thickBot="1" x14ac:dyDescent="0.55000000000000004">
      <c r="A16" s="78"/>
      <c r="B16" s="78"/>
      <c r="C16" s="78"/>
      <c r="D16" s="78"/>
      <c r="E16" s="78"/>
      <c r="F16" s="78"/>
      <c r="G16" s="78"/>
      <c r="H16" s="78"/>
      <c r="I16" s="86"/>
      <c r="J16" s="78"/>
      <c r="K16" s="78"/>
      <c r="L16" s="78"/>
      <c r="M16" s="78"/>
      <c r="N16" s="78"/>
      <c r="O16" s="79"/>
      <c r="P16" s="78"/>
      <c r="Q16" s="80"/>
      <c r="R16" s="86"/>
    </row>
    <row r="17" spans="1:18" ht="21" hidden="1" thickBot="1" x14ac:dyDescent="0.55000000000000004">
      <c r="A17" s="78"/>
      <c r="B17" s="78"/>
      <c r="C17" s="78"/>
      <c r="D17" s="78"/>
      <c r="E17" s="78"/>
      <c r="F17" s="78"/>
      <c r="G17" s="78"/>
      <c r="H17" s="78"/>
      <c r="I17" s="86"/>
      <c r="J17" s="78"/>
      <c r="K17" s="78"/>
      <c r="L17" s="78"/>
      <c r="M17" s="78"/>
      <c r="N17" s="78"/>
      <c r="O17" s="79"/>
      <c r="P17" s="78"/>
      <c r="Q17" s="80"/>
      <c r="R17" s="86"/>
    </row>
    <row r="18" spans="1:18" ht="13.5" customHeight="1" thickBot="1" x14ac:dyDescent="0.3">
      <c r="A18" s="126" t="s">
        <v>199</v>
      </c>
      <c r="B18" s="127"/>
      <c r="C18" s="127"/>
      <c r="D18" s="128"/>
      <c r="E18" s="132" t="s">
        <v>200</v>
      </c>
      <c r="F18" s="133"/>
      <c r="G18" s="133"/>
      <c r="H18" s="134"/>
      <c r="I18" s="86"/>
      <c r="J18" s="117" t="s">
        <v>202</v>
      </c>
      <c r="K18" s="118"/>
      <c r="L18" s="118"/>
      <c r="M18" s="119"/>
      <c r="N18" s="117" t="s">
        <v>203</v>
      </c>
      <c r="O18" s="118"/>
      <c r="P18" s="118"/>
      <c r="Q18" s="119"/>
      <c r="R18" s="86"/>
    </row>
    <row r="19" spans="1:18" ht="1.5" hidden="1" customHeight="1" thickBot="1" x14ac:dyDescent="0.55000000000000004">
      <c r="A19" s="129"/>
      <c r="B19" s="130"/>
      <c r="C19" s="130"/>
      <c r="D19" s="131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9"/>
      <c r="P19" s="78"/>
      <c r="Q19" s="80"/>
      <c r="R19" s="78"/>
    </row>
    <row r="20" spans="1:18" ht="3" customHeight="1" x14ac:dyDescent="0.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7"/>
      <c r="P20" s="86"/>
      <c r="Q20" s="88"/>
      <c r="R20" s="78"/>
    </row>
    <row r="21" spans="1:18" ht="20.25" x14ac:dyDescent="0.5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9"/>
      <c r="P21" s="78"/>
      <c r="Q21" s="80"/>
      <c r="R21" s="78"/>
    </row>
    <row r="22" spans="1:18" ht="20.25" x14ac:dyDescent="0.5">
      <c r="A22" s="78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9"/>
      <c r="P22" s="78"/>
      <c r="Q22" s="80"/>
      <c r="R22" s="78"/>
    </row>
    <row r="23" spans="1:18" ht="20.25" x14ac:dyDescent="0.5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9"/>
      <c r="P23" s="78"/>
      <c r="Q23" s="80"/>
      <c r="R23" s="78"/>
    </row>
    <row r="24" spans="1:18" ht="20.25" x14ac:dyDescent="0.5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9"/>
      <c r="P24" s="78"/>
      <c r="Q24" s="80"/>
      <c r="R24" s="78"/>
    </row>
    <row r="25" spans="1:18" ht="20.25" x14ac:dyDescent="0.5">
      <c r="A25" s="78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9"/>
      <c r="P25" s="78"/>
      <c r="Q25" s="80"/>
      <c r="R25" s="78"/>
    </row>
    <row r="26" spans="1:18" ht="20.25" x14ac:dyDescent="0.5">
      <c r="A26" s="78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9"/>
      <c r="P26" s="78"/>
      <c r="Q26" s="80"/>
      <c r="R26" s="78"/>
    </row>
    <row r="27" spans="1:18" ht="20.25" x14ac:dyDescent="0.5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9"/>
      <c r="P27" s="78"/>
      <c r="Q27" s="80"/>
      <c r="R27" s="78"/>
    </row>
    <row r="28" spans="1:18" ht="20.25" x14ac:dyDescent="0.5">
      <c r="A28" s="78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9"/>
      <c r="P28" s="78"/>
      <c r="Q28" s="80"/>
      <c r="R28" s="78"/>
    </row>
    <row r="29" spans="1:18" ht="20.25" x14ac:dyDescent="0.5">
      <c r="A29" s="78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9"/>
      <c r="P29" s="78"/>
      <c r="Q29" s="80"/>
      <c r="R29" s="78"/>
    </row>
    <row r="30" spans="1:18" ht="20.25" x14ac:dyDescent="0.5">
      <c r="A30" s="78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9"/>
      <c r="P30" s="78"/>
      <c r="Q30" s="80"/>
      <c r="R30" s="78"/>
    </row>
    <row r="31" spans="1:18" ht="20.25" x14ac:dyDescent="0.5">
      <c r="A31" s="78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9"/>
      <c r="P31" s="78"/>
      <c r="Q31" s="80"/>
      <c r="R31" s="78"/>
    </row>
    <row r="32" spans="1:18" ht="20.25" x14ac:dyDescent="0.5">
      <c r="A32" s="78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9"/>
      <c r="P32" s="78"/>
      <c r="Q32" s="80"/>
      <c r="R32" s="78"/>
    </row>
    <row r="33" spans="1:18" ht="20.25" x14ac:dyDescent="0.5">
      <c r="A33" s="78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9"/>
      <c r="P33" s="78"/>
      <c r="Q33" s="80"/>
      <c r="R33" s="78"/>
    </row>
    <row r="34" spans="1:18" ht="20.25" x14ac:dyDescent="0.5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9"/>
      <c r="P34" s="78"/>
      <c r="Q34" s="80"/>
      <c r="R34" s="78"/>
    </row>
    <row r="35" spans="1:18" ht="20.25" x14ac:dyDescent="0.5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9"/>
      <c r="P35" s="78"/>
      <c r="Q35" s="80"/>
      <c r="R35" s="78"/>
    </row>
    <row r="36" spans="1:18" ht="20.25" x14ac:dyDescent="0.5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9"/>
      <c r="P36" s="78"/>
      <c r="Q36" s="80"/>
      <c r="R36" s="78"/>
    </row>
    <row r="37" spans="1:18" ht="20.25" x14ac:dyDescent="0.5">
      <c r="A37" s="78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9"/>
      <c r="P37" s="78"/>
      <c r="Q37" s="80"/>
      <c r="R37" s="78"/>
    </row>
    <row r="38" spans="1:18" ht="20.25" x14ac:dyDescent="0.5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9"/>
      <c r="P38" s="78"/>
      <c r="Q38" s="80"/>
      <c r="R38" s="78"/>
    </row>
    <row r="39" spans="1:18" ht="20.25" x14ac:dyDescent="0.5">
      <c r="A39" s="78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9"/>
      <c r="P39" s="78"/>
      <c r="Q39" s="80"/>
      <c r="R39" s="78"/>
    </row>
    <row r="40" spans="1:18" ht="20.25" x14ac:dyDescent="0.5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9"/>
      <c r="P40" s="78"/>
      <c r="Q40" s="80"/>
      <c r="R40" s="78"/>
    </row>
    <row r="41" spans="1:18" ht="20.25" x14ac:dyDescent="0.5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9"/>
      <c r="P41" s="78"/>
      <c r="Q41" s="80"/>
      <c r="R41" s="78"/>
    </row>
    <row r="42" spans="1:18" ht="20.25" x14ac:dyDescent="0.5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9"/>
      <c r="P42" s="78"/>
      <c r="Q42" s="80"/>
      <c r="R42" s="78"/>
    </row>
    <row r="43" spans="1:18" ht="20.25" x14ac:dyDescent="0.5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9"/>
      <c r="P43" s="78"/>
      <c r="Q43" s="80"/>
      <c r="R43" s="78"/>
    </row>
    <row r="44" spans="1:18" ht="20.25" x14ac:dyDescent="0.5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78"/>
      <c r="Q44" s="80"/>
      <c r="R44" s="78"/>
    </row>
    <row r="45" spans="1:18" ht="20.25" x14ac:dyDescent="0.5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9"/>
      <c r="P45" s="78"/>
      <c r="Q45" s="80"/>
      <c r="R45" s="78"/>
    </row>
    <row r="46" spans="1:18" ht="20.25" x14ac:dyDescent="0.5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9"/>
      <c r="P46" s="78"/>
      <c r="Q46" s="80"/>
      <c r="R46" s="78"/>
    </row>
    <row r="47" spans="1:18" ht="20.25" x14ac:dyDescent="0.5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9"/>
      <c r="P47" s="78"/>
      <c r="Q47" s="80"/>
      <c r="R47" s="78"/>
    </row>
    <row r="48" spans="1:18" ht="20.25" x14ac:dyDescent="0.5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9"/>
      <c r="P48" s="78"/>
      <c r="Q48" s="80"/>
      <c r="R48" s="78"/>
    </row>
  </sheetData>
  <mergeCells count="6">
    <mergeCell ref="N18:Q18"/>
    <mergeCell ref="J1:Q2"/>
    <mergeCell ref="A18:D19"/>
    <mergeCell ref="E18:H18"/>
    <mergeCell ref="A1:H2"/>
    <mergeCell ref="J18:M1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2"/>
  <dimension ref="B1:H17"/>
  <sheetViews>
    <sheetView zoomScaleNormal="100" workbookViewId="0">
      <selection activeCell="C9" sqref="C9"/>
    </sheetView>
  </sheetViews>
  <sheetFormatPr defaultColWidth="18.42578125" defaultRowHeight="17.25" x14ac:dyDescent="0.3"/>
  <cols>
    <col min="1" max="1" width="18.42578125" style="43"/>
    <col min="2" max="2" width="21.85546875" style="43" bestFit="1" customWidth="1"/>
    <col min="3" max="3" width="19.7109375" style="43" customWidth="1"/>
    <col min="4" max="4" width="18.42578125" style="43"/>
    <col min="5" max="5" width="25" style="43" customWidth="1"/>
    <col min="6" max="16384" width="18.42578125" style="43"/>
  </cols>
  <sheetData>
    <row r="1" spans="2:8" ht="18" thickTop="1" x14ac:dyDescent="0.3">
      <c r="B1" s="135" t="s">
        <v>180</v>
      </c>
      <c r="C1" s="136"/>
      <c r="D1" s="136"/>
      <c r="E1" s="136"/>
      <c r="F1" s="136"/>
      <c r="G1" s="136"/>
      <c r="H1" s="137"/>
    </row>
    <row r="2" spans="2:8" x14ac:dyDescent="0.3">
      <c r="B2" s="138"/>
      <c r="C2" s="139"/>
      <c r="D2" s="139"/>
      <c r="E2" s="139"/>
      <c r="F2" s="139"/>
      <c r="G2" s="139"/>
      <c r="H2" s="140"/>
    </row>
    <row r="3" spans="2:8" ht="18" thickBot="1" x14ac:dyDescent="0.35">
      <c r="B3" s="141"/>
      <c r="C3" s="142"/>
      <c r="D3" s="142"/>
      <c r="E3" s="142"/>
      <c r="F3" s="142"/>
      <c r="G3" s="142"/>
      <c r="H3" s="143"/>
    </row>
    <row r="4" spans="2:8" ht="18.75" thickTop="1" thickBot="1" x14ac:dyDescent="0.35">
      <c r="B4" s="44"/>
      <c r="C4" s="46"/>
      <c r="D4" s="46"/>
      <c r="E4" s="46"/>
      <c r="F4" s="46"/>
      <c r="G4" s="46"/>
      <c r="H4" s="47"/>
    </row>
    <row r="5" spans="2:8" ht="18" thickBot="1" x14ac:dyDescent="0.35">
      <c r="B5" s="44" t="s">
        <v>168</v>
      </c>
      <c r="C5" s="45" t="str">
        <f ca="1">CONFIGURATION!G7</f>
        <v>VERS-CLT-2021-5</v>
      </c>
      <c r="D5" s="46"/>
      <c r="E5" s="46" t="s">
        <v>169</v>
      </c>
      <c r="F5" s="45"/>
      <c r="G5" s="46"/>
      <c r="H5" s="47"/>
    </row>
    <row r="6" spans="2:8" ht="18" thickBot="1" x14ac:dyDescent="0.35">
      <c r="B6" s="44"/>
      <c r="C6" s="46"/>
      <c r="D6" s="46"/>
      <c r="E6" s="46"/>
      <c r="F6" s="46"/>
      <c r="G6" s="46"/>
      <c r="H6" s="47"/>
    </row>
    <row r="7" spans="2:8" ht="18" thickBot="1" x14ac:dyDescent="0.35">
      <c r="B7" s="44" t="s">
        <v>170</v>
      </c>
      <c r="C7" s="45"/>
      <c r="D7" s="46"/>
      <c r="E7" s="46" t="s">
        <v>171</v>
      </c>
      <c r="F7" s="45"/>
      <c r="G7" s="46"/>
      <c r="H7" s="47"/>
    </row>
    <row r="8" spans="2:8" ht="18" thickBot="1" x14ac:dyDescent="0.35">
      <c r="B8" s="44"/>
      <c r="C8" s="46"/>
      <c r="D8" s="46"/>
      <c r="E8" s="46"/>
      <c r="F8" s="46"/>
      <c r="G8" s="46"/>
      <c r="H8" s="47"/>
    </row>
    <row r="9" spans="2:8" ht="18" thickBot="1" x14ac:dyDescent="0.35">
      <c r="B9" s="44" t="s">
        <v>172</v>
      </c>
      <c r="C9" s="45"/>
      <c r="D9" s="46"/>
      <c r="E9" s="46" t="s">
        <v>173</v>
      </c>
      <c r="F9" s="45"/>
      <c r="G9" s="46"/>
      <c r="H9" s="47"/>
    </row>
    <row r="10" spans="2:8" ht="18" thickBot="1" x14ac:dyDescent="0.35">
      <c r="B10" s="44"/>
      <c r="C10" s="46"/>
      <c r="D10" s="46"/>
      <c r="E10" s="46"/>
      <c r="F10" s="46"/>
      <c r="G10" s="46"/>
      <c r="H10" s="47"/>
    </row>
    <row r="11" spans="2:8" ht="18" thickBot="1" x14ac:dyDescent="0.35">
      <c r="B11" s="44" t="s">
        <v>174</v>
      </c>
      <c r="C11" s="45"/>
      <c r="D11" s="46" t="s">
        <v>175</v>
      </c>
      <c r="E11" s="45"/>
      <c r="F11" s="46" t="s">
        <v>176</v>
      </c>
      <c r="G11" s="45"/>
      <c r="H11" s="47"/>
    </row>
    <row r="12" spans="2:8" x14ac:dyDescent="0.3">
      <c r="B12" s="44"/>
      <c r="C12" s="46"/>
      <c r="D12" s="46"/>
      <c r="E12" s="46"/>
      <c r="F12" s="46"/>
      <c r="G12" s="46"/>
      <c r="H12" s="47"/>
    </row>
    <row r="13" spans="2:8" x14ac:dyDescent="0.3">
      <c r="B13" s="44"/>
      <c r="C13" s="46"/>
      <c r="D13" s="46"/>
      <c r="E13" s="46"/>
      <c r="F13" s="46"/>
      <c r="G13" s="46"/>
      <c r="H13" s="47"/>
    </row>
    <row r="14" spans="2:8" x14ac:dyDescent="0.3">
      <c r="B14" s="44"/>
      <c r="C14" s="46"/>
      <c r="D14" s="46"/>
      <c r="E14" s="46"/>
      <c r="F14" s="46"/>
      <c r="G14" s="46"/>
      <c r="H14" s="47"/>
    </row>
    <row r="15" spans="2:8" x14ac:dyDescent="0.3">
      <c r="B15" s="44"/>
      <c r="C15" s="46"/>
      <c r="D15" s="46"/>
      <c r="E15" s="46"/>
      <c r="F15" s="46"/>
      <c r="G15" s="46"/>
      <c r="H15" s="47"/>
    </row>
    <row r="16" spans="2:8" x14ac:dyDescent="0.3">
      <c r="B16" s="44"/>
      <c r="C16" s="46"/>
      <c r="D16" s="46"/>
      <c r="E16" s="46"/>
      <c r="F16" s="46"/>
      <c r="G16" s="46"/>
      <c r="H16" s="47"/>
    </row>
    <row r="17" spans="2:8" ht="18" thickBot="1" x14ac:dyDescent="0.35">
      <c r="B17" s="48"/>
      <c r="C17" s="49"/>
      <c r="D17" s="49"/>
      <c r="E17" s="49"/>
      <c r="F17" s="49"/>
      <c r="G17" s="49"/>
      <c r="H17" s="50"/>
    </row>
  </sheetData>
  <mergeCells count="1">
    <mergeCell ref="B1:H3"/>
  </mergeCells>
  <dataValidations count="1">
    <dataValidation type="list" allowBlank="1" showInputMessage="1" showErrorMessage="1" sqref="F5" xr:uid="{00000000-0002-0000-0100-000000000000}">
      <formula1>CLIENTS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3</xdr:col>
                <xdr:colOff>114300</xdr:colOff>
                <xdr:row>12</xdr:row>
                <xdr:rowOff>171450</xdr:rowOff>
              </from>
              <to>
                <xdr:col>6</xdr:col>
                <xdr:colOff>200025</xdr:colOff>
                <xdr:row>16</xdr:row>
                <xdr:rowOff>47625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B1:I25"/>
  <sheetViews>
    <sheetView workbookViewId="0">
      <selection activeCell="D6" sqref="D6"/>
    </sheetView>
  </sheetViews>
  <sheetFormatPr defaultColWidth="18.42578125" defaultRowHeight="17.25" x14ac:dyDescent="0.3"/>
  <cols>
    <col min="1" max="1" width="18.42578125" style="51"/>
    <col min="2" max="2" width="21.85546875" style="51" bestFit="1" customWidth="1"/>
    <col min="3" max="3" width="19.7109375" style="51" customWidth="1"/>
    <col min="4" max="4" width="18.42578125" style="51"/>
    <col min="5" max="5" width="25" style="51" customWidth="1"/>
    <col min="6" max="16384" width="18.42578125" style="51"/>
  </cols>
  <sheetData>
    <row r="1" spans="2:8" ht="18" thickTop="1" x14ac:dyDescent="0.3">
      <c r="B1" s="144" t="s">
        <v>180</v>
      </c>
      <c r="C1" s="145"/>
      <c r="D1" s="145"/>
      <c r="E1" s="145"/>
      <c r="F1" s="145"/>
      <c r="G1" s="145"/>
      <c r="H1" s="146"/>
    </row>
    <row r="2" spans="2:8" x14ac:dyDescent="0.3">
      <c r="B2" s="147"/>
      <c r="C2" s="148"/>
      <c r="D2" s="148"/>
      <c r="E2" s="148"/>
      <c r="F2" s="148"/>
      <c r="G2" s="148"/>
      <c r="H2" s="149"/>
    </row>
    <row r="3" spans="2:8" ht="18" thickBot="1" x14ac:dyDescent="0.35">
      <c r="B3" s="150"/>
      <c r="C3" s="151"/>
      <c r="D3" s="151"/>
      <c r="E3" s="151"/>
      <c r="F3" s="151"/>
      <c r="G3" s="151"/>
      <c r="H3" s="152"/>
    </row>
    <row r="4" spans="2:8" ht="18.75" thickTop="1" thickBot="1" x14ac:dyDescent="0.35">
      <c r="B4" s="52"/>
      <c r="C4" s="53"/>
      <c r="D4" s="53"/>
      <c r="E4" s="53"/>
      <c r="F4" s="53"/>
      <c r="G4" s="53"/>
      <c r="H4" s="54"/>
    </row>
    <row r="5" spans="2:8" ht="18" thickBot="1" x14ac:dyDescent="0.35">
      <c r="B5" s="52" t="s">
        <v>168</v>
      </c>
      <c r="C5" s="55" t="str">
        <f ca="1">CONFIGURATION!G5</f>
        <v>VERS-FR-2021-5</v>
      </c>
      <c r="D5" s="53"/>
      <c r="E5" s="53" t="s">
        <v>181</v>
      </c>
      <c r="F5" s="55"/>
      <c r="G5" s="53"/>
      <c r="H5" s="54"/>
    </row>
    <row r="6" spans="2:8" ht="18" thickBot="1" x14ac:dyDescent="0.35">
      <c r="B6" s="52"/>
      <c r="C6" s="53"/>
      <c r="D6" s="53"/>
      <c r="E6" s="53"/>
      <c r="F6" s="53"/>
      <c r="G6" s="53"/>
      <c r="H6" s="54"/>
    </row>
    <row r="7" spans="2:8" ht="18" thickBot="1" x14ac:dyDescent="0.35">
      <c r="B7" s="52" t="s">
        <v>170</v>
      </c>
      <c r="C7" s="55"/>
      <c r="D7" s="53"/>
      <c r="E7" s="53" t="s">
        <v>171</v>
      </c>
      <c r="F7" s="55"/>
      <c r="G7" s="53"/>
      <c r="H7" s="54"/>
    </row>
    <row r="8" spans="2:8" ht="18" thickBot="1" x14ac:dyDescent="0.35">
      <c r="B8" s="52"/>
      <c r="C8" s="53"/>
      <c r="D8" s="53"/>
      <c r="E8" s="53"/>
      <c r="F8" s="53"/>
      <c r="G8" s="53"/>
      <c r="H8" s="54"/>
    </row>
    <row r="9" spans="2:8" ht="18" thickBot="1" x14ac:dyDescent="0.35">
      <c r="B9" s="52" t="s">
        <v>172</v>
      </c>
      <c r="C9" s="55"/>
      <c r="D9" s="53"/>
      <c r="E9" s="53" t="s">
        <v>173</v>
      </c>
      <c r="F9" s="55"/>
      <c r="G9" s="53"/>
      <c r="H9" s="54"/>
    </row>
    <row r="10" spans="2:8" ht="18" thickBot="1" x14ac:dyDescent="0.35">
      <c r="B10" s="52"/>
      <c r="C10" s="53"/>
      <c r="D10" s="53"/>
      <c r="E10" s="53"/>
      <c r="F10" s="53"/>
      <c r="G10" s="53"/>
      <c r="H10" s="54"/>
    </row>
    <row r="11" spans="2:8" ht="18" thickBot="1" x14ac:dyDescent="0.35">
      <c r="B11" s="52" t="s">
        <v>174</v>
      </c>
      <c r="C11" s="55"/>
      <c r="D11" s="53" t="s">
        <v>175</v>
      </c>
      <c r="E11" s="55"/>
      <c r="F11" s="53" t="s">
        <v>176</v>
      </c>
      <c r="G11" s="55"/>
      <c r="H11" s="54"/>
    </row>
    <row r="12" spans="2:8" x14ac:dyDescent="0.3">
      <c r="B12" s="52"/>
      <c r="C12" s="53"/>
      <c r="D12" s="53"/>
      <c r="E12" s="53"/>
      <c r="F12" s="53"/>
      <c r="G12" s="53"/>
      <c r="H12" s="54"/>
    </row>
    <row r="13" spans="2:8" x14ac:dyDescent="0.3">
      <c r="B13" s="52"/>
      <c r="C13" s="53"/>
      <c r="D13" s="53"/>
      <c r="E13" s="53"/>
      <c r="F13" s="53"/>
      <c r="G13" s="53"/>
      <c r="H13" s="54"/>
    </row>
    <row r="14" spans="2:8" x14ac:dyDescent="0.3">
      <c r="B14" s="52"/>
      <c r="C14" s="53"/>
      <c r="D14" s="53"/>
      <c r="E14" s="53"/>
      <c r="F14" s="53"/>
      <c r="G14" s="53"/>
      <c r="H14" s="54"/>
    </row>
    <row r="15" spans="2:8" x14ac:dyDescent="0.3">
      <c r="B15" s="52"/>
      <c r="C15" s="53"/>
      <c r="D15" s="53"/>
      <c r="E15" s="53"/>
      <c r="F15" s="53"/>
      <c r="G15" s="53"/>
      <c r="H15" s="54"/>
    </row>
    <row r="16" spans="2:8" x14ac:dyDescent="0.3">
      <c r="B16" s="52"/>
      <c r="C16" s="53"/>
      <c r="D16" s="53"/>
      <c r="E16" s="53"/>
      <c r="F16" s="53"/>
      <c r="G16" s="53"/>
      <c r="H16" s="54"/>
    </row>
    <row r="17" spans="2:9" ht="18" thickBot="1" x14ac:dyDescent="0.35">
      <c r="B17" s="56"/>
      <c r="C17" s="57"/>
      <c r="D17" s="57"/>
      <c r="E17" s="57"/>
      <c r="F17" s="57"/>
      <c r="G17" s="57"/>
      <c r="H17" s="58"/>
    </row>
    <row r="21" spans="2:9" x14ac:dyDescent="0.3">
      <c r="B21" s="51" t="s">
        <v>50</v>
      </c>
      <c r="C21" s="51" t="s">
        <v>51</v>
      </c>
      <c r="D21" s="51" t="s">
        <v>52</v>
      </c>
      <c r="E21" s="51" t="s">
        <v>53</v>
      </c>
      <c r="F21" s="51" t="s">
        <v>54</v>
      </c>
      <c r="G21" s="51" t="s">
        <v>55</v>
      </c>
      <c r="H21" s="51" t="s">
        <v>56</v>
      </c>
      <c r="I21" s="51" t="s">
        <v>1</v>
      </c>
    </row>
    <row r="22" spans="2:9" x14ac:dyDescent="0.3">
      <c r="B22" s="15" t="s">
        <v>162</v>
      </c>
      <c r="C22" s="20">
        <v>43922</v>
      </c>
      <c r="D22" s="2" t="s">
        <v>21</v>
      </c>
      <c r="E22" s="2" t="s">
        <v>22</v>
      </c>
      <c r="F22" s="2">
        <v>835</v>
      </c>
      <c r="G22" s="11">
        <v>700</v>
      </c>
      <c r="H22" s="11">
        <v>584500</v>
      </c>
      <c r="I22" s="2" t="s">
        <v>67</v>
      </c>
    </row>
    <row r="23" spans="2:9" x14ac:dyDescent="0.3">
      <c r="B23" s="15" t="s">
        <v>162</v>
      </c>
      <c r="C23" s="20">
        <v>43922</v>
      </c>
      <c r="D23" s="2" t="s">
        <v>31</v>
      </c>
      <c r="E23" s="2" t="s">
        <v>32</v>
      </c>
      <c r="F23" s="2">
        <v>250</v>
      </c>
      <c r="G23" s="11">
        <v>1250</v>
      </c>
      <c r="H23" s="11">
        <v>312500</v>
      </c>
      <c r="I23" s="2" t="s">
        <v>67</v>
      </c>
    </row>
    <row r="24" spans="2:9" x14ac:dyDescent="0.3">
      <c r="B24" s="15" t="s">
        <v>162</v>
      </c>
      <c r="C24" s="20">
        <v>43922</v>
      </c>
      <c r="D24" s="2" t="s">
        <v>18</v>
      </c>
      <c r="E24" s="2" t="s">
        <v>19</v>
      </c>
      <c r="F24" s="2">
        <v>150</v>
      </c>
      <c r="G24" s="11">
        <v>500</v>
      </c>
      <c r="H24" s="11">
        <v>75000</v>
      </c>
      <c r="I24" s="2" t="s">
        <v>67</v>
      </c>
    </row>
    <row r="25" spans="2:9" x14ac:dyDescent="0.3">
      <c r="B25" s="15" t="s">
        <v>163</v>
      </c>
      <c r="C25" s="20">
        <v>43923</v>
      </c>
      <c r="D25" s="2" t="s">
        <v>21</v>
      </c>
      <c r="E25" s="2" t="s">
        <v>22</v>
      </c>
      <c r="F25" s="2">
        <v>795</v>
      </c>
      <c r="G25" s="11">
        <v>700</v>
      </c>
      <c r="H25" s="11">
        <v>556500</v>
      </c>
      <c r="I25" s="2" t="s">
        <v>5</v>
      </c>
    </row>
  </sheetData>
  <mergeCells count="1">
    <mergeCell ref="B1:H3"/>
  </mergeCells>
  <dataValidations count="1">
    <dataValidation type="list" allowBlank="1" showInputMessage="1" showErrorMessage="1" sqref="F5" xr:uid="{00000000-0002-0000-0200-000000000000}">
      <formula1>FOURNISSEURS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3</xdr:col>
                <xdr:colOff>114300</xdr:colOff>
                <xdr:row>12</xdr:row>
                <xdr:rowOff>171450</xdr:rowOff>
              </from>
              <to>
                <xdr:col>6</xdr:col>
                <xdr:colOff>200025</xdr:colOff>
                <xdr:row>16</xdr:row>
                <xdr:rowOff>47625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2:M16"/>
  <sheetViews>
    <sheetView workbookViewId="0">
      <selection activeCell="B20" sqref="B20"/>
    </sheetView>
  </sheetViews>
  <sheetFormatPr defaultColWidth="11.42578125" defaultRowHeight="15" x14ac:dyDescent="0.25"/>
  <cols>
    <col min="1" max="1" width="11.42578125" style="29"/>
    <col min="2" max="2" width="13.7109375" style="29" customWidth="1"/>
    <col min="3" max="3" width="24.7109375" style="29" bestFit="1" customWidth="1"/>
    <col min="4" max="4" width="11.42578125" style="29"/>
    <col min="5" max="5" width="12.7109375" style="29" customWidth="1"/>
    <col min="6" max="6" width="16.140625" style="30" customWidth="1"/>
    <col min="7" max="7" width="13" style="29" customWidth="1"/>
    <col min="8" max="8" width="18.42578125" style="29" bestFit="1" customWidth="1"/>
    <col min="9" max="16384" width="11.42578125" style="29"/>
  </cols>
  <sheetData>
    <row r="2" spans="2:13" x14ac:dyDescent="0.25">
      <c r="J2" s="39"/>
    </row>
    <row r="3" spans="2:13" x14ac:dyDescent="0.25">
      <c r="J3" s="40"/>
      <c r="L3" s="38"/>
    </row>
    <row r="4" spans="2:13" x14ac:dyDescent="0.25">
      <c r="K4" s="38"/>
      <c r="L4" s="38"/>
    </row>
    <row r="5" spans="2:13" x14ac:dyDescent="0.25">
      <c r="B5" s="29" t="s">
        <v>11</v>
      </c>
      <c r="C5" s="29" t="s">
        <v>12</v>
      </c>
      <c r="D5" s="29" t="s">
        <v>13</v>
      </c>
      <c r="E5" s="29" t="s">
        <v>14</v>
      </c>
      <c r="F5" s="30" t="s">
        <v>15</v>
      </c>
      <c r="G5" s="29" t="s">
        <v>16</v>
      </c>
      <c r="H5" s="2" t="s">
        <v>17</v>
      </c>
    </row>
    <row r="6" spans="2:13" x14ac:dyDescent="0.25">
      <c r="B6" s="25" t="s">
        <v>27</v>
      </c>
      <c r="C6" s="25" t="s">
        <v>28</v>
      </c>
      <c r="D6" s="2">
        <v>500</v>
      </c>
      <c r="E6" s="29">
        <f>SUMIF(TACHAT[N° ART],TART[[#This Row],[REF ARTICLE]],TACHAT[QTE])-SUMIF(TVENTE[N° ART],TART[[#This Row],[REF ARTICLE]],TVENTE[QTE])</f>
        <v>0</v>
      </c>
      <c r="F6" s="30">
        <f t="shared" ref="F6:F15" si="0">D6*E6</f>
        <v>0</v>
      </c>
      <c r="G6" s="2">
        <v>150</v>
      </c>
      <c r="H6" s="26" t="str">
        <f t="array" ref="H6">IF(TART[[#This Row],[STOCK MIN]]&gt;TART[[#This Row],[QTE STOCK]],"STOCK FAIBLE !!!","")</f>
        <v>STOCK FAIBLE !!!</v>
      </c>
      <c r="J6" s="38"/>
      <c r="K6" s="38"/>
      <c r="L6" s="38"/>
      <c r="M6" s="39"/>
    </row>
    <row r="7" spans="2:13" x14ac:dyDescent="0.25">
      <c r="B7" s="27" t="s">
        <v>29</v>
      </c>
      <c r="C7" s="27" t="s">
        <v>30</v>
      </c>
      <c r="D7" s="3">
        <v>1000</v>
      </c>
      <c r="E7" s="29">
        <f>SUMIF(TACHAT[N° ART],TART[[#This Row],[REF ARTICLE]],TACHAT[QTE])-SUMIF(TVENTE[N° ART],TART[[#This Row],[REF ARTICLE]],TVENTE[QTE])</f>
        <v>-16</v>
      </c>
      <c r="F7" s="31">
        <f t="shared" si="0"/>
        <v>-16000</v>
      </c>
      <c r="G7" s="2">
        <v>150</v>
      </c>
      <c r="H7" s="26" t="str">
        <f t="array" ref="H7">IF(TART[[#This Row],[STOCK MIN]]&gt;TART[[#This Row],[QTE STOCK]],"STOCK FAIBLE !!!","")</f>
        <v>STOCK FAIBLE !!!</v>
      </c>
    </row>
    <row r="8" spans="2:13" x14ac:dyDescent="0.25">
      <c r="B8" s="27" t="s">
        <v>18</v>
      </c>
      <c r="C8" s="27" t="s">
        <v>19</v>
      </c>
      <c r="D8" s="3" t="s">
        <v>20</v>
      </c>
      <c r="E8" s="29">
        <f>SUMIF(TACHAT[N° ART],TART[[#This Row],[REF ARTICLE]],TACHAT[QTE])-SUMIF(TVENTE[N° ART],TART[[#This Row],[REF ARTICLE]],TVENTE[QTE])</f>
        <v>50</v>
      </c>
      <c r="F8" s="31">
        <f t="shared" si="0"/>
        <v>25000</v>
      </c>
      <c r="G8" s="2">
        <v>150</v>
      </c>
      <c r="H8" s="26" t="str">
        <f t="array" ref="H8">IF(TART[[#This Row],[STOCK MIN]]&gt;TART[[#This Row],[QTE STOCK]],"STOCK FAIBLE !!!","")</f>
        <v>STOCK FAIBLE !!!</v>
      </c>
    </row>
    <row r="9" spans="2:13" x14ac:dyDescent="0.25">
      <c r="B9" s="27" t="s">
        <v>21</v>
      </c>
      <c r="C9" s="27" t="s">
        <v>22</v>
      </c>
      <c r="D9" s="3" t="s">
        <v>23</v>
      </c>
      <c r="E9" s="29">
        <f>SUMIF(TACHAT[N° ART],TART[[#This Row],[REF ARTICLE]],TACHAT[QTE])-SUMIF(TVENTE[N° ART],TART[[#This Row],[REF ARTICLE]],TVENTE[QTE])</f>
        <v>400</v>
      </c>
      <c r="F9" s="31">
        <f t="shared" si="0"/>
        <v>280000</v>
      </c>
      <c r="G9" s="2">
        <v>150</v>
      </c>
      <c r="H9" s="26" t="str">
        <f t="array" ref="H9">IF(TART[[#This Row],[STOCK MIN]]&gt;TART[[#This Row],[QTE STOCK]],"STOCK FAIBLE !!!","")</f>
        <v/>
      </c>
    </row>
    <row r="10" spans="2:13" x14ac:dyDescent="0.25">
      <c r="B10" s="27" t="s">
        <v>24</v>
      </c>
      <c r="C10" s="27" t="s">
        <v>25</v>
      </c>
      <c r="D10" s="3" t="s">
        <v>26</v>
      </c>
      <c r="E10" s="29">
        <f>SUMIF(TACHAT[N° ART],TART[[#This Row],[REF ARTICLE]],TACHAT[QTE])-SUMIF(TVENTE[N° ART],TART[[#This Row],[REF ARTICLE]],TVENTE[QTE])</f>
        <v>0</v>
      </c>
      <c r="F10" s="31">
        <f t="shared" si="0"/>
        <v>0</v>
      </c>
      <c r="G10" s="2">
        <v>150</v>
      </c>
      <c r="H10" s="26" t="str">
        <f t="array" ref="H10">IF(TART[[#This Row],[STOCK MIN]]&gt;TART[[#This Row],[QTE STOCK]],"STOCK FAIBLE !!!","")</f>
        <v>STOCK FAIBLE !!!</v>
      </c>
    </row>
    <row r="11" spans="2:13" x14ac:dyDescent="0.25">
      <c r="B11" s="27" t="s">
        <v>31</v>
      </c>
      <c r="C11" s="27" t="s">
        <v>32</v>
      </c>
      <c r="D11" s="3" t="s">
        <v>33</v>
      </c>
      <c r="E11" s="29">
        <f>SUMIF(TACHAT[N° ART],TART[[#This Row],[REF ARTICLE]],TACHAT[QTE])-SUMIF(TVENTE[N° ART],TART[[#This Row],[REF ARTICLE]],TVENTE[QTE])</f>
        <v>100</v>
      </c>
      <c r="F11" s="31">
        <f t="shared" si="0"/>
        <v>125000</v>
      </c>
      <c r="G11" s="2">
        <v>150</v>
      </c>
      <c r="H11" s="26" t="str">
        <f t="array" ref="H11">IF(TART[[#This Row],[STOCK MIN]]&gt;TART[[#This Row],[QTE STOCK]],"STOCK FAIBLE !!!","")</f>
        <v>STOCK FAIBLE !!!</v>
      </c>
    </row>
    <row r="12" spans="2:13" x14ac:dyDescent="0.25">
      <c r="B12" s="27" t="s">
        <v>34</v>
      </c>
      <c r="C12" s="27" t="s">
        <v>35</v>
      </c>
      <c r="D12" s="3" t="s">
        <v>36</v>
      </c>
      <c r="E12" s="29">
        <f>SUMIF(TACHAT[N° ART],TART[[#This Row],[REF ARTICLE]],TACHAT[QTE])-SUMIF(TVENTE[N° ART],TART[[#This Row],[REF ARTICLE]],TVENTE[QTE])</f>
        <v>0</v>
      </c>
      <c r="F12" s="31">
        <f t="shared" si="0"/>
        <v>0</v>
      </c>
      <c r="G12" s="2">
        <v>150</v>
      </c>
      <c r="H12" s="26" t="str">
        <f t="array" ref="H12">IF(TART[[#This Row],[STOCK MIN]]&gt;TART[[#This Row],[QTE STOCK]],"STOCK FAIBLE !!!","")</f>
        <v>STOCK FAIBLE !!!</v>
      </c>
    </row>
    <row r="13" spans="2:13" x14ac:dyDescent="0.25">
      <c r="B13" s="27" t="s">
        <v>37</v>
      </c>
      <c r="C13" s="27" t="s">
        <v>38</v>
      </c>
      <c r="D13" s="3" t="s">
        <v>39</v>
      </c>
      <c r="E13" s="29">
        <f>SUMIF(TACHAT[N° ART],TART[[#This Row],[REF ARTICLE]],TACHAT[QTE])-SUMIF(TVENTE[N° ART],TART[[#This Row],[REF ARTICLE]],TVENTE[QTE])</f>
        <v>0</v>
      </c>
      <c r="F13" s="31">
        <f t="shared" si="0"/>
        <v>0</v>
      </c>
      <c r="G13" s="2">
        <v>150</v>
      </c>
      <c r="H13" s="26" t="str">
        <f t="array" ref="H13">IF(TART[[#This Row],[STOCK MIN]]&gt;TART[[#This Row],[QTE STOCK]],"STOCK FAIBLE !!!","")</f>
        <v>STOCK FAIBLE !!!</v>
      </c>
    </row>
    <row r="14" spans="2:13" x14ac:dyDescent="0.25">
      <c r="B14" s="27" t="s">
        <v>40</v>
      </c>
      <c r="C14" s="27" t="s">
        <v>41</v>
      </c>
      <c r="D14" s="3" t="s">
        <v>42</v>
      </c>
      <c r="E14" s="29">
        <f>SUMIF(TACHAT[N° ART],TART[[#This Row],[REF ARTICLE]],TACHAT[QTE])-SUMIF(TVENTE[N° ART],TART[[#This Row],[REF ARTICLE]],TVENTE[QTE])</f>
        <v>0</v>
      </c>
      <c r="F14" s="31">
        <f t="shared" si="0"/>
        <v>0</v>
      </c>
      <c r="G14" s="2">
        <v>150</v>
      </c>
      <c r="H14" s="26" t="str">
        <f t="array" ref="H14">IF(TART[[#This Row],[STOCK MIN]]&gt;TART[[#This Row],[QTE STOCK]],"STOCK FAIBLE !!!","")</f>
        <v>STOCK FAIBLE !!!</v>
      </c>
    </row>
    <row r="15" spans="2:13" x14ac:dyDescent="0.25">
      <c r="B15" s="27" t="s">
        <v>43</v>
      </c>
      <c r="C15" s="27" t="s">
        <v>44</v>
      </c>
      <c r="D15" s="3" t="s">
        <v>45</v>
      </c>
      <c r="E15" s="29">
        <f>SUMIF(TACHAT[N° ART],TART[[#This Row],[REF ARTICLE]],TACHAT[QTE])-SUMIF(TVENTE[N° ART],TART[[#This Row],[REF ARTICLE]],TVENTE[QTE])</f>
        <v>150</v>
      </c>
      <c r="F15" s="31">
        <f t="shared" si="0"/>
        <v>142500</v>
      </c>
      <c r="G15" s="2">
        <v>150</v>
      </c>
      <c r="H15" s="26" t="str">
        <f t="array" ref="H15">IF(TART[[#This Row],[STOCK MIN]]&gt;TART[[#This Row],[QTE STOCK]],"STOCK FAIBLE !!!","")</f>
        <v/>
      </c>
    </row>
    <row r="16" spans="2:13" x14ac:dyDescent="0.25">
      <c r="B16" s="27" t="s">
        <v>93</v>
      </c>
      <c r="C16" s="27" t="s">
        <v>94</v>
      </c>
      <c r="D16" s="3" t="s">
        <v>23</v>
      </c>
      <c r="E16" s="29">
        <f>SUMIF(TACHAT[N° ART],TART[[#This Row],[REF ARTICLE]],TACHAT[QTE])-SUMIF(TVENTE[N° ART],TART[[#This Row],[REF ARTICLE]],TVENTE[QTE])</f>
        <v>0</v>
      </c>
      <c r="F16" s="31">
        <f>D16*E16</f>
        <v>0</v>
      </c>
      <c r="G16" s="2" t="s">
        <v>95</v>
      </c>
      <c r="H16" s="28" t="str">
        <f t="array" ref="H16">IF(TART[[#This Row],[STOCK MIN]]&gt;TART[[#This Row],[QTE STOCK]],"STOCK FAIBLE !!!","")</f>
        <v>STOCK FAIBLE !!!</v>
      </c>
    </row>
  </sheetData>
  <conditionalFormatting sqref="H6:H16">
    <cfRule type="cellIs" dxfId="84" priority="1" operator="lessThan">
      <formula>$G$6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B1:N9"/>
  <sheetViews>
    <sheetView topLeftCell="D1" workbookViewId="0">
      <selection activeCell="O9" sqref="O9"/>
    </sheetView>
  </sheetViews>
  <sheetFormatPr defaultColWidth="11.42578125" defaultRowHeight="15" x14ac:dyDescent="0.25"/>
  <cols>
    <col min="2" max="2" width="22.85546875" customWidth="1"/>
    <col min="3" max="3" width="15.85546875" customWidth="1"/>
    <col min="4" max="4" width="16.28515625" customWidth="1"/>
    <col min="5" max="5" width="21.42578125" customWidth="1"/>
    <col min="6" max="6" width="20.28515625" style="33" bestFit="1" customWidth="1"/>
    <col min="7" max="7" width="16.7109375" bestFit="1" customWidth="1"/>
    <col min="8" max="9" width="12.85546875" bestFit="1" customWidth="1"/>
    <col min="10" max="10" width="14.5703125" bestFit="1" customWidth="1"/>
    <col min="11" max="12" width="12.85546875" bestFit="1" customWidth="1"/>
  </cols>
  <sheetData>
    <row r="1" spans="2:14" x14ac:dyDescent="0.25">
      <c r="G1" s="34"/>
    </row>
    <row r="3" spans="2:14" x14ac:dyDescent="0.25">
      <c r="F3" s="33">
        <f t="array" ref="F3">SUM(TCLIENT[CHIFFRE D''AFFAIRE])</f>
        <v>1184500</v>
      </c>
      <c r="G3" s="33">
        <f>SUM(TCLIENT[TOTAL OR])</f>
        <v>1596</v>
      </c>
      <c r="H3" s="33">
        <f>SUM(TCLIENT[TOTAL VO])</f>
        <v>1010.8</v>
      </c>
      <c r="I3" s="33">
        <f>SUM(TCLIENT[TOTAL VA])</f>
        <v>810000</v>
      </c>
      <c r="J3" s="33">
        <f>SUM(TCLIENT[TOTAL PERTE])</f>
        <v>52.078533333333326</v>
      </c>
      <c r="K3" s="33">
        <f>SUM(TCLIENT[TOTAL RO])</f>
        <v>300</v>
      </c>
      <c r="L3" s="33">
        <f>SUM(TCLIENT[TOTAL RA])</f>
        <v>150000</v>
      </c>
    </row>
    <row r="5" spans="2:14" x14ac:dyDescent="0.25">
      <c r="B5" t="s">
        <v>0</v>
      </c>
      <c r="C5" t="s">
        <v>2</v>
      </c>
      <c r="D5" t="s">
        <v>3</v>
      </c>
      <c r="E5" s="1" t="s">
        <v>4</v>
      </c>
      <c r="F5" s="33" t="s">
        <v>147</v>
      </c>
      <c r="G5" t="s">
        <v>150</v>
      </c>
      <c r="H5" t="s">
        <v>149</v>
      </c>
      <c r="I5" t="s">
        <v>148</v>
      </c>
      <c r="J5" t="s">
        <v>151</v>
      </c>
      <c r="K5" t="s">
        <v>152</v>
      </c>
      <c r="L5" t="s">
        <v>153</v>
      </c>
      <c r="M5" t="s">
        <v>195</v>
      </c>
      <c r="N5" t="s">
        <v>196</v>
      </c>
    </row>
    <row r="6" spans="2:14" x14ac:dyDescent="0.25">
      <c r="B6" t="s">
        <v>8</v>
      </c>
      <c r="C6" t="s">
        <v>9</v>
      </c>
      <c r="D6" t="s">
        <v>9</v>
      </c>
      <c r="E6" s="36" t="s">
        <v>10</v>
      </c>
      <c r="F6" s="33">
        <f>SUMIF(TVENTE[CLIENT],TCLIENT[[#This Row],[CLIENT]],TVENTE[TOTAL])</f>
        <v>203500</v>
      </c>
      <c r="G6" s="34">
        <f>SUMIF(TVENTE[CLIENT],TCLIENT[[#This Row],[CLIENT]],TVENTE[QTE])</f>
        <v>166</v>
      </c>
      <c r="H6" s="34">
        <f>SUMIF(TVC[CLIENT],TCLIENT[[#This Row],[CLIENT]],TVC[VERSEMENT OR])</f>
        <v>360</v>
      </c>
      <c r="I6" s="34">
        <f>SUMIF(TVC[CLIENT],TCLIENT[[#This Row],[CLIENT]],TVC[VERSEMENT ARGENT])</f>
        <v>150000</v>
      </c>
      <c r="J6" s="34">
        <f>SUMIF(TVC[CLIENT],TCLIENT[[#This Row],[CLIENT]],TVC[ECART])</f>
        <v>11.680000000000007</v>
      </c>
      <c r="K6" s="37">
        <f>SUMIF(TVC[CLIENT],TCLIENT[[#This Row],[CLIENT]],TVC[RETOUR OR])</f>
        <v>0</v>
      </c>
      <c r="L6" s="34">
        <f>SUMIF(TVC[CLIENT],TCLIENT[[#This Row],[CLIENT]],TVC[RETOUR ARGENT])</f>
        <v>0</v>
      </c>
      <c r="M6" s="34">
        <f>(TCLIENT[[#This Row],[TOTAL OR]]+TCLIENT[[#This Row],[TOTAL PERTE]])-(TCLIENT[[#This Row],[TOTAL VO]]+TCLIENT[[#This Row],[TOTAL RO]])</f>
        <v>-182.32</v>
      </c>
      <c r="N6" s="34">
        <f>TCLIENT[[#This Row],[CHIFFRE D''AFFAIRE]]-(TCLIENT[[#This Row],[TOTAL VA]]+TCLIENT[[#This Row],[TOTAL RA]])</f>
        <v>53500</v>
      </c>
    </row>
    <row r="7" spans="2:14" x14ac:dyDescent="0.25">
      <c r="B7" t="s">
        <v>78</v>
      </c>
      <c r="C7" t="s">
        <v>79</v>
      </c>
      <c r="D7" t="s">
        <v>77</v>
      </c>
      <c r="E7" s="36" t="s">
        <v>80</v>
      </c>
      <c r="F7" s="33">
        <f>SUMIF(TVENTE[CLIENT],TCLIENT[[#This Row],[CLIENT]],TVENTE[TOTAL])</f>
        <v>560000</v>
      </c>
      <c r="G7" s="34">
        <f>SUMIF(TVENTE[CLIENT],TCLIENT[[#This Row],[CLIENT]],TVENTE[QTE])</f>
        <v>800</v>
      </c>
      <c r="H7" s="34">
        <f>SUMIF(TVC[CLIENT],TCLIENT[[#This Row],[CLIENT]],TVC[VERSEMENT OR])</f>
        <v>500.8</v>
      </c>
      <c r="I7" s="34">
        <f>SUMIF(TVC[CLIENT],TCLIENT[[#This Row],[CLIENT]],TVC[VERSEMENT ARGENT])</f>
        <v>510000</v>
      </c>
      <c r="J7" s="34">
        <f>SUMIF(TVC[CLIENT],TCLIENT[[#This Row],[CLIENT]],TVC[ECART])</f>
        <v>24.249599999999987</v>
      </c>
      <c r="K7" s="37">
        <f>SUMIF(TVC[CLIENT],TCLIENT[[#This Row],[CLIENT]],TVC[RETOUR OR])</f>
        <v>0</v>
      </c>
      <c r="L7" s="34">
        <f>SUMIF(TVC[CLIENT],TCLIENT[[#This Row],[CLIENT]],TVC[RETOUR ARGENT])</f>
        <v>0</v>
      </c>
      <c r="M7" s="34">
        <f>(TCLIENT[[#This Row],[TOTAL OR]]+TCLIENT[[#This Row],[TOTAL PERTE]])-(TCLIENT[[#This Row],[TOTAL VO]]+TCLIENT[[#This Row],[TOTAL RO]])</f>
        <v>323.44959999999998</v>
      </c>
      <c r="N7" s="34">
        <f>TCLIENT[[#This Row],[CHIFFRE D''AFFAIRE]]-(TCLIENT[[#This Row],[TOTAL VA]]+TCLIENT[[#This Row],[TOTAL RA]])</f>
        <v>50000</v>
      </c>
    </row>
    <row r="8" spans="2:14" x14ac:dyDescent="0.25">
      <c r="B8" t="s">
        <v>81</v>
      </c>
      <c r="C8" t="s">
        <v>82</v>
      </c>
      <c r="D8" t="s">
        <v>76</v>
      </c>
      <c r="E8" s="36" t="s">
        <v>83</v>
      </c>
      <c r="F8" s="33">
        <f>SUMIF(TVENTE[CLIENT],TCLIENT[[#This Row],[CLIENT]],TVENTE[TOTAL])</f>
        <v>371000</v>
      </c>
      <c r="G8" s="34">
        <f>SUMIF(TVENTE[CLIENT],TCLIENT[[#This Row],[CLIENT]],TVENTE[QTE])</f>
        <v>530</v>
      </c>
      <c r="H8" s="34">
        <f>SUMIF(TVC[CLIENT],TCLIENT[[#This Row],[CLIENT]],TVC[VERSEMENT OR])</f>
        <v>0</v>
      </c>
      <c r="I8" s="34">
        <f>SUMIF(TVC[CLIENT],TCLIENT[[#This Row],[CLIENT]],TVC[VERSEMENT ARGENT])</f>
        <v>0</v>
      </c>
      <c r="J8" s="34">
        <f>SUMIF(TVC[CLIENT],TCLIENT[[#This Row],[CLIENT]],TVC[ECART])</f>
        <v>0</v>
      </c>
      <c r="K8" s="37">
        <f>SUMIF(TVC[CLIENT],TCLIENT[[#This Row],[CLIENT]],TVC[RETOUR OR])</f>
        <v>250</v>
      </c>
      <c r="L8" s="34">
        <f>SUMIF(TVC[CLIENT],TCLIENT[[#This Row],[CLIENT]],TVC[RETOUR ARGENT])</f>
        <v>100000</v>
      </c>
      <c r="M8" s="34">
        <f>(TCLIENT[[#This Row],[TOTAL OR]]+TCLIENT[[#This Row],[TOTAL PERTE]])-(TCLIENT[[#This Row],[TOTAL VO]]+TCLIENT[[#This Row],[TOTAL RO]])</f>
        <v>280</v>
      </c>
      <c r="N8" s="34">
        <f>TCLIENT[[#This Row],[CHIFFRE D''AFFAIRE]]-(TCLIENT[[#This Row],[TOTAL VA]]+TCLIENT[[#This Row],[TOTAL RA]])</f>
        <v>271000</v>
      </c>
    </row>
    <row r="9" spans="2:14" x14ac:dyDescent="0.25">
      <c r="B9" t="s">
        <v>154</v>
      </c>
      <c r="C9" t="s">
        <v>155</v>
      </c>
      <c r="D9" t="s">
        <v>117</v>
      </c>
      <c r="E9" s="36" t="s">
        <v>156</v>
      </c>
      <c r="F9" s="33">
        <f>SUMIF(TVENTE[CLIENT],TCLIENT[[#This Row],[CLIENT]],TVENTE[TOTAL])</f>
        <v>50000</v>
      </c>
      <c r="G9" s="34">
        <f>SUMIF(TVENTE[CLIENT],TCLIENT[[#This Row],[CLIENT]],TVENTE[QTE])</f>
        <v>100</v>
      </c>
      <c r="H9" s="34">
        <f>SUMIF(TVC[CLIENT],TCLIENT[[#This Row],[CLIENT]],TVC[VERSEMENT OR])</f>
        <v>150</v>
      </c>
      <c r="I9" s="34">
        <f>SUMIF(TVC[CLIENT],TCLIENT[[#This Row],[CLIENT]],TVC[VERSEMENT ARGENT])</f>
        <v>150000</v>
      </c>
      <c r="J9" s="34">
        <f>SUMIF(TVC[CLIENT],TCLIENT[[#This Row],[CLIENT]],TVC[ECART])</f>
        <v>16.148933333333332</v>
      </c>
      <c r="K9" s="37">
        <f>SUMIF(TVC[CLIENT],TCLIENT[[#This Row],[CLIENT]],TVC[RETOUR OR])</f>
        <v>50</v>
      </c>
      <c r="L9" s="34">
        <f>SUMIF(TVC[CLIENT],TCLIENT[[#This Row],[CLIENT]],TVC[RETOUR ARGENT])</f>
        <v>50000</v>
      </c>
      <c r="M9" s="34">
        <f>(TCLIENT[[#This Row],[TOTAL OR]]+TCLIENT[[#This Row],[TOTAL PERTE]])-(TCLIENT[[#This Row],[TOTAL VO]]+TCLIENT[[#This Row],[TOTAL RO]])</f>
        <v>-83.851066666666668</v>
      </c>
      <c r="N9" s="34">
        <f>TCLIENT[[#This Row],[CHIFFRE D''AFFAIRE]]-(TCLIENT[[#This Row],[TOTAL VA]]+TCLIENT[[#This Row],[TOTAL RA]])</f>
        <v>-150000</v>
      </c>
    </row>
  </sheetData>
  <pageMargins left="0.7" right="0.7" top="0.75" bottom="0.75" header="0.3" footer="0.3"/>
  <pageSetup paperSize="9" orientation="portrait" r:id="rId1"/>
  <ignoredErrors>
    <ignoredError sqref="E6:E9" numberStoredAsText="1"/>
    <ignoredError sqref="H6:L6" calculatedColumn="1"/>
  </ignoredErrors>
  <drawing r:id="rId2"/>
  <legacyDrawing r:id="rId3"/>
  <controls>
    <mc:AlternateContent xmlns:mc="http://schemas.openxmlformats.org/markup-compatibility/2006">
      <mc:Choice Requires="x14">
        <control shapeId="6145" r:id="rId4" name="ADCL">
          <controlPr defaultSize="0" autoLine="0" autoPict="0" r:id="rId5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2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6145" r:id="rId4" name="ADCL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AI8"/>
  <sheetViews>
    <sheetView tabSelected="1" topLeftCell="B1" workbookViewId="0">
      <selection activeCell="D10" sqref="D10"/>
    </sheetView>
  </sheetViews>
  <sheetFormatPr defaultColWidth="11.42578125" defaultRowHeight="15" x14ac:dyDescent="0.25"/>
  <cols>
    <col min="1" max="1" width="11.42578125" style="2"/>
    <col min="2" max="2" width="24.85546875" style="2" customWidth="1"/>
    <col min="3" max="3" width="17.42578125" style="2" customWidth="1"/>
    <col min="4" max="4" width="15.85546875" style="2" customWidth="1"/>
    <col min="5" max="5" width="16.28515625" style="2" customWidth="1"/>
    <col min="6" max="6" width="20.28515625" style="2" bestFit="1" customWidth="1"/>
    <col min="7" max="7" width="11.85546875" style="2" bestFit="1" customWidth="1"/>
    <col min="8" max="8" width="12" style="2" bestFit="1" customWidth="1"/>
    <col min="9" max="9" width="14.140625" style="2" bestFit="1" customWidth="1"/>
    <col min="10" max="10" width="14.5703125" style="2" bestFit="1" customWidth="1"/>
    <col min="11" max="11" width="11.85546875" style="2" bestFit="1" customWidth="1"/>
    <col min="12" max="13" width="11.42578125" style="2"/>
    <col min="14" max="14" width="18.5703125" style="2" bestFit="1" customWidth="1"/>
    <col min="15" max="16384" width="11.42578125" style="2"/>
  </cols>
  <sheetData>
    <row r="1" spans="2:35" x14ac:dyDescent="0.25">
      <c r="AA1" t="s">
        <v>87</v>
      </c>
      <c r="AB1" s="21" t="s">
        <v>51</v>
      </c>
      <c r="AC1" t="s">
        <v>52</v>
      </c>
      <c r="AD1" t="s">
        <v>88</v>
      </c>
      <c r="AE1" t="s">
        <v>54</v>
      </c>
      <c r="AF1" t="s">
        <v>55</v>
      </c>
      <c r="AG1" t="s">
        <v>56</v>
      </c>
      <c r="AH1" t="s">
        <v>0</v>
      </c>
      <c r="AI1" t="s">
        <v>98</v>
      </c>
    </row>
    <row r="2" spans="2:35" x14ac:dyDescent="0.25">
      <c r="I2" s="35"/>
      <c r="J2" s="35"/>
      <c r="AA2" s="2" t="s">
        <v>183</v>
      </c>
      <c r="AB2" s="20" t="s">
        <v>184</v>
      </c>
      <c r="AC2" s="2" t="s">
        <v>21</v>
      </c>
      <c r="AD2" s="2" t="s">
        <v>22</v>
      </c>
      <c r="AE2" s="35">
        <v>800</v>
      </c>
      <c r="AF2" s="18">
        <v>700</v>
      </c>
      <c r="AG2" s="11">
        <v>560000</v>
      </c>
      <c r="AH2" s="2" t="s">
        <v>78</v>
      </c>
      <c r="AI2" s="19">
        <v>6</v>
      </c>
    </row>
    <row r="3" spans="2:35" x14ac:dyDescent="0.25">
      <c r="F3" s="11">
        <f>SUM(TFOURNISSEUR[CHIFFRE D''AFFAIRE])</f>
        <v>1741000</v>
      </c>
      <c r="G3" s="17">
        <f>SUM(TFOURNISSEUR[TOTAL OR])</f>
        <v>2280</v>
      </c>
      <c r="H3" s="17">
        <f>SUM(TFOURNISSEUR[TOTAL VO])</f>
        <v>1110</v>
      </c>
      <c r="I3" s="11">
        <f>SUM(TFOURNISSEUR[TOTAL VA])</f>
        <v>1760000</v>
      </c>
      <c r="J3" s="17">
        <f>SUM(TFOURNISSEUR[TOTAL PERTE])</f>
        <v>68.814480000000017</v>
      </c>
      <c r="K3" s="17">
        <f>SUM(TFOURNISSEUR[TOTAL RO])</f>
        <v>200</v>
      </c>
      <c r="L3" s="11">
        <f>SUM(TFOURNISSEUR[TOTAL RA])</f>
        <v>71000</v>
      </c>
      <c r="M3" s="17">
        <f>SUM(TFOURNISSEUR[RESTE O])</f>
        <v>1038.81448</v>
      </c>
      <c r="N3" s="11">
        <f>SUM(TFOURNISSEUR[RESTE A])</f>
        <v>-90000</v>
      </c>
      <c r="AA3" s="2" t="s">
        <v>185</v>
      </c>
      <c r="AB3" s="20" t="s">
        <v>184</v>
      </c>
      <c r="AC3" s="2" t="s">
        <v>21</v>
      </c>
      <c r="AD3" s="2" t="s">
        <v>22</v>
      </c>
      <c r="AE3" s="35">
        <v>530</v>
      </c>
      <c r="AF3" s="18">
        <v>700</v>
      </c>
      <c r="AG3" s="11">
        <v>371000</v>
      </c>
      <c r="AH3" s="2" t="s">
        <v>81</v>
      </c>
      <c r="AI3" s="19">
        <v>7</v>
      </c>
    </row>
    <row r="4" spans="2:35" x14ac:dyDescent="0.25">
      <c r="AA4" s="2" t="s">
        <v>190</v>
      </c>
      <c r="AB4" s="20" t="s">
        <v>191</v>
      </c>
      <c r="AC4" s="2" t="s">
        <v>18</v>
      </c>
      <c r="AD4" s="2" t="s">
        <v>19</v>
      </c>
      <c r="AE4" s="35">
        <v>100</v>
      </c>
      <c r="AF4" s="18">
        <v>500</v>
      </c>
      <c r="AG4" s="11">
        <v>50000</v>
      </c>
      <c r="AH4" s="2" t="s">
        <v>154</v>
      </c>
      <c r="AI4" s="19">
        <v>8</v>
      </c>
    </row>
    <row r="5" spans="2:35" x14ac:dyDescent="0.25">
      <c r="B5" s="2" t="s">
        <v>1</v>
      </c>
      <c r="C5" s="2" t="s">
        <v>2</v>
      </c>
      <c r="D5" s="2" t="s">
        <v>3</v>
      </c>
      <c r="E5" s="15" t="s">
        <v>4</v>
      </c>
      <c r="F5" s="2" t="s">
        <v>147</v>
      </c>
      <c r="G5" s="2" t="s">
        <v>150</v>
      </c>
      <c r="H5" s="2" t="s">
        <v>149</v>
      </c>
      <c r="I5" s="2" t="s">
        <v>148</v>
      </c>
      <c r="J5" s="2" t="s">
        <v>151</v>
      </c>
      <c r="K5" s="2" t="s">
        <v>152</v>
      </c>
      <c r="L5" s="2" t="s">
        <v>153</v>
      </c>
      <c r="M5" s="2" t="s">
        <v>195</v>
      </c>
      <c r="N5" s="2" t="s">
        <v>196</v>
      </c>
      <c r="AA5" s="2" t="s">
        <v>192</v>
      </c>
      <c r="AB5" s="20" t="s">
        <v>191</v>
      </c>
      <c r="AC5" s="2" t="s">
        <v>31</v>
      </c>
      <c r="AD5" s="2" t="s">
        <v>32</v>
      </c>
      <c r="AE5" s="35">
        <v>150</v>
      </c>
      <c r="AF5" s="18">
        <v>1250</v>
      </c>
      <c r="AG5" s="11">
        <v>187500</v>
      </c>
      <c r="AH5" s="2" t="s">
        <v>8</v>
      </c>
      <c r="AI5" s="19">
        <v>9</v>
      </c>
    </row>
    <row r="6" spans="2:35" x14ac:dyDescent="0.25">
      <c r="B6" s="2" t="s">
        <v>5</v>
      </c>
      <c r="C6" s="2" t="s">
        <v>6</v>
      </c>
      <c r="D6" s="2" t="s">
        <v>7</v>
      </c>
      <c r="E6" s="15" t="s">
        <v>187</v>
      </c>
      <c r="F6" s="11">
        <f>SUMIF(TACHAT[FOURNISSEUR],TFOURNISSEUR[[#This Row],[FOURNISSEUR]],TACHAT[TOTAL])</f>
        <v>769000</v>
      </c>
      <c r="G6" s="35">
        <f>SUMIF(TACHAT[FOURNISSEUR],TFOURNISSEUR[[#This Row],[FOURNISSEUR]],TACHAT[QTE])</f>
        <v>1045</v>
      </c>
      <c r="H6" s="35">
        <f>SUMIF(TVF[FOURNISSEUR],TFOURNISSEUR[[#This Row],[FOURNISSEUR]],TVF[VERSEMENT OR])</f>
        <v>350</v>
      </c>
      <c r="I6" s="11">
        <f>SUMIF(TVF[FOURNISSEUR],TFOURNISSEUR[[#This Row],[FOURNISSEUR]],TVF[VERSEMENT ARGENT])</f>
        <v>360000</v>
      </c>
      <c r="J6" s="35">
        <f>SUMIF(TVF[FOURNISSEUR],TFOURNISSEUR[[#This Row],[FOURNISSEUR]],TVF[ECART])</f>
        <v>9.0759999999999934</v>
      </c>
      <c r="K6" s="35">
        <f>SUMIF(TVF[FOURNISSEUR],TFOURNISSEUR[[#This Row],[FOURNISSEUR]],TVF[RETOUR OR])</f>
        <v>0</v>
      </c>
      <c r="L6" s="11">
        <f>SUMIF(TVF[FOURNISSEUR],TFOURNISSEUR[[#This Row],[FOURNISSEUR]],TVF[RETOUR ARGENT])</f>
        <v>0</v>
      </c>
      <c r="M6" s="17">
        <f>TFOURNISSEUR[[#This Row],[TOTAL OR]]+TFOURNISSEUR[[#This Row],[TOTAL PERTE]]-TFOURNISSEUR[[#This Row],[TOTAL VO]]-TFOURNISSEUR[[#This Row],[TOTAL RO]]</f>
        <v>704.07600000000002</v>
      </c>
      <c r="N6" s="77">
        <f>TFOURNISSEUR[[#This Row],[CHIFFRE D''AFFAIRE]]-TFOURNISSEUR[[#This Row],[TOTAL VA]]-TFOURNISSEUR[[#This Row],[TOTAL RA]]</f>
        <v>409000</v>
      </c>
      <c r="AA6" s="2" t="s">
        <v>193</v>
      </c>
      <c r="AB6" s="20" t="s">
        <v>191</v>
      </c>
      <c r="AC6" s="2" t="s">
        <v>29</v>
      </c>
      <c r="AD6" s="2" t="s">
        <v>30</v>
      </c>
      <c r="AE6" s="35">
        <v>16</v>
      </c>
      <c r="AF6" s="18">
        <v>1000</v>
      </c>
      <c r="AG6" s="11">
        <v>16000</v>
      </c>
      <c r="AH6" s="2" t="s">
        <v>8</v>
      </c>
      <c r="AI6" s="19">
        <v>10</v>
      </c>
    </row>
    <row r="7" spans="2:35" x14ac:dyDescent="0.25">
      <c r="B7" s="2" t="s">
        <v>67</v>
      </c>
      <c r="C7" s="2" t="s">
        <v>84</v>
      </c>
      <c r="D7" s="2" t="s">
        <v>76</v>
      </c>
      <c r="E7" s="15" t="s">
        <v>85</v>
      </c>
      <c r="F7" s="11">
        <f>SUMIF(TACHAT[FOURNISSEUR],TFOURNISSEUR[[#This Row],[FOURNISSEUR]],TACHAT[TOTAL])</f>
        <v>972000</v>
      </c>
      <c r="G7" s="35">
        <f>SUMIF(TACHAT[FOURNISSEUR],TFOURNISSEUR[[#This Row],[FOURNISSEUR]],TACHAT[QTE])</f>
        <v>1235</v>
      </c>
      <c r="H7" s="35">
        <f>SUMIF(TVF[FOURNISSEUR],TFOURNISSEUR[[#This Row],[FOURNISSEUR]],TVF[VERSEMENT OR])</f>
        <v>610</v>
      </c>
      <c r="I7" s="11">
        <f>SUMIF(TVF[FOURNISSEUR],TFOURNISSEUR[[#This Row],[FOURNISSEUR]],TVF[VERSEMENT ARGENT])</f>
        <v>1250000</v>
      </c>
      <c r="J7" s="35">
        <f>SUMIF(TVF[FOURNISSEUR],TFOURNISSEUR[[#This Row],[FOURNISSEUR]],TVF[ECART])</f>
        <v>53.634480000000025</v>
      </c>
      <c r="K7" s="35">
        <f>SUMIF(TVF[FOURNISSEUR],TFOURNISSEUR[[#This Row],[FOURNISSEUR]],TVF[RETOUR OR])</f>
        <v>100</v>
      </c>
      <c r="L7" s="11">
        <f>SUMIF(TVF[FOURNISSEUR],TFOURNISSEUR[[#This Row],[FOURNISSEUR]],TVF[RETOUR ARGENT])</f>
        <v>6000</v>
      </c>
      <c r="M7" s="17">
        <f>TFOURNISSEUR[[#This Row],[TOTAL OR]]+TFOURNISSEUR[[#This Row],[TOTAL PERTE]]-TFOURNISSEUR[[#This Row],[TOTAL VO]]-TFOURNISSEUR[[#This Row],[TOTAL RO]]</f>
        <v>578.63447999999994</v>
      </c>
      <c r="N7" s="77">
        <f>TFOURNISSEUR[[#This Row],[CHIFFRE D''AFFAIRE]]-TFOURNISSEUR[[#This Row],[TOTAL VA]]-TFOURNISSEUR[[#This Row],[TOTAL RA]]</f>
        <v>-284000</v>
      </c>
    </row>
    <row r="8" spans="2:35" x14ac:dyDescent="0.25">
      <c r="B8" s="2" t="s">
        <v>68</v>
      </c>
      <c r="C8" s="2" t="s">
        <v>6</v>
      </c>
      <c r="D8" s="2" t="s">
        <v>76</v>
      </c>
      <c r="E8" s="15" t="s">
        <v>86</v>
      </c>
      <c r="F8" s="11">
        <f>SUMIF(TACHAT[FOURNISSEUR],TFOURNISSEUR[[#This Row],[FOURNISSEUR]],TACHAT[TOTAL])</f>
        <v>0</v>
      </c>
      <c r="G8" s="35">
        <f>SUMIF(TACHAT[FOURNISSEUR],TFOURNISSEUR[[#This Row],[FOURNISSEUR]],TACHAT[QTE])</f>
        <v>0</v>
      </c>
      <c r="H8" s="35">
        <f>SUMIF(TVF[FOURNISSEUR],TFOURNISSEUR[[#This Row],[FOURNISSEUR]],TVF[VERSEMENT OR])</f>
        <v>150</v>
      </c>
      <c r="I8" s="11">
        <f>SUMIF(TVF[FOURNISSEUR],TFOURNISSEUR[[#This Row],[FOURNISSEUR]],TVF[VERSEMENT ARGENT])</f>
        <v>150000</v>
      </c>
      <c r="J8" s="35">
        <f>SUMIF(TVF[FOURNISSEUR],TFOURNISSEUR[[#This Row],[FOURNISSEUR]],TVF[ECART])</f>
        <v>6.1039999999999992</v>
      </c>
      <c r="K8" s="35">
        <f>SUMIF(TVF[FOURNISSEUR],TFOURNISSEUR[[#This Row],[FOURNISSEUR]],TVF[RETOUR OR])</f>
        <v>100</v>
      </c>
      <c r="L8" s="11">
        <f>SUMIF(TVF[FOURNISSEUR],TFOURNISSEUR[[#This Row],[FOURNISSEUR]],TVF[RETOUR ARGENT])</f>
        <v>65000</v>
      </c>
      <c r="M8" s="17">
        <f>TFOURNISSEUR[[#This Row],[TOTAL OR]]+TFOURNISSEUR[[#This Row],[TOTAL PERTE]]-TFOURNISSEUR[[#This Row],[TOTAL VO]]-TFOURNISSEUR[[#This Row],[TOTAL RO]]</f>
        <v>-243.89600000000002</v>
      </c>
      <c r="N8" s="77">
        <f>TFOURNISSEUR[[#This Row],[CHIFFRE D''AFFAIRE]]-TFOURNISSEUR[[#This Row],[TOTAL VA]]-TFOURNISSEUR[[#This Row],[TOTAL RA]]</f>
        <v>-215000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AFR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7169" r:id="rId4" name="AFR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H19"/>
  <sheetViews>
    <sheetView topLeftCell="B1" workbookViewId="0">
      <selection activeCell="C21" sqref="C21"/>
    </sheetView>
  </sheetViews>
  <sheetFormatPr defaultColWidth="11.42578125" defaultRowHeight="15" x14ac:dyDescent="0.25"/>
  <cols>
    <col min="1" max="1" width="11.42578125" style="2"/>
    <col min="2" max="2" width="14.42578125" style="2" bestFit="1" customWidth="1"/>
    <col min="3" max="3" width="18.42578125" style="20" bestFit="1" customWidth="1"/>
    <col min="4" max="4" width="11.42578125" style="2"/>
    <col min="5" max="5" width="24.7109375" style="2" bestFit="1" customWidth="1"/>
    <col min="6" max="8" width="11.42578125" style="2"/>
    <col min="9" max="9" width="15.7109375" style="2" customWidth="1"/>
    <col min="10" max="10" width="13.28515625" style="2" bestFit="1" customWidth="1"/>
    <col min="11" max="20" width="11.42578125" style="2"/>
    <col min="21" max="21" width="13.42578125" style="2" bestFit="1" customWidth="1"/>
    <col min="22" max="22" width="13.28515625" style="2" bestFit="1" customWidth="1"/>
    <col min="23" max="23" width="11.42578125" style="2"/>
    <col min="24" max="24" width="13.42578125" style="2" bestFit="1" customWidth="1"/>
    <col min="25" max="25" width="15.7109375" style="2" bestFit="1" customWidth="1"/>
    <col min="26" max="26" width="11.42578125" style="2"/>
    <col min="27" max="27" width="24.7109375" style="2" bestFit="1" customWidth="1"/>
    <col min="28" max="30" width="11.42578125" style="2"/>
    <col min="31" max="32" width="13.28515625" style="2" bestFit="1" customWidth="1"/>
    <col min="33" max="33" width="11.42578125" style="2"/>
    <col min="34" max="34" width="13.42578125" style="2" bestFit="1" customWidth="1"/>
    <col min="35" max="16384" width="11.42578125" style="2"/>
  </cols>
  <sheetData>
    <row r="1" spans="1:34" x14ac:dyDescent="0.25">
      <c r="U1" s="3"/>
      <c r="V1" s="3"/>
      <c r="X1" s="3" t="s">
        <v>51</v>
      </c>
      <c r="Y1" s="3" t="s">
        <v>1</v>
      </c>
      <c r="Z1" s="3"/>
      <c r="AA1" s="3" t="s">
        <v>50</v>
      </c>
      <c r="AB1" s="3" t="s">
        <v>51</v>
      </c>
      <c r="AC1" s="3" t="s">
        <v>52</v>
      </c>
      <c r="AD1" s="3" t="s">
        <v>53</v>
      </c>
      <c r="AE1" s="3" t="s">
        <v>54</v>
      </c>
      <c r="AF1" s="3" t="s">
        <v>55</v>
      </c>
      <c r="AG1" s="3" t="s">
        <v>56</v>
      </c>
      <c r="AH1" s="2" t="s">
        <v>1</v>
      </c>
    </row>
    <row r="2" spans="1:34" x14ac:dyDescent="0.25">
      <c r="A2" s="76">
        <f>SUMIF(TACHAT[DATE],$X$2,TACHAT[QTE])</f>
        <v>0</v>
      </c>
      <c r="B2" s="76">
        <f>SUMIF(TACHAT[DATE],$X$2,TACHAT[TOTAL])</f>
        <v>0</v>
      </c>
      <c r="U2" s="3"/>
      <c r="V2" s="3"/>
      <c r="X2" s="20"/>
      <c r="Y2" s="12"/>
      <c r="AA2" s="15" t="s">
        <v>162</v>
      </c>
      <c r="AB2" s="20">
        <v>43922</v>
      </c>
      <c r="AC2" s="2" t="s">
        <v>21</v>
      </c>
      <c r="AD2" s="2" t="s">
        <v>22</v>
      </c>
      <c r="AE2" s="17">
        <v>835</v>
      </c>
      <c r="AF2" s="11">
        <v>700</v>
      </c>
      <c r="AG2" s="11">
        <v>584500</v>
      </c>
      <c r="AH2" s="2" t="s">
        <v>67</v>
      </c>
    </row>
    <row r="3" spans="1:34" x14ac:dyDescent="0.25">
      <c r="V3" s="2" t="e">
        <f ca="1">OFFSET($AA$2,0,0,COUNTA($AA$2:$AA$1048500),8)</f>
        <v>#VALUE!</v>
      </c>
      <c r="X3" s="15"/>
      <c r="Y3" s="12"/>
      <c r="AA3" s="15" t="s">
        <v>162</v>
      </c>
      <c r="AB3" s="20">
        <v>43922</v>
      </c>
      <c r="AC3" s="2" t="s">
        <v>31</v>
      </c>
      <c r="AD3" s="2" t="s">
        <v>32</v>
      </c>
      <c r="AE3" s="17">
        <v>250</v>
      </c>
      <c r="AF3" s="11">
        <v>1250</v>
      </c>
      <c r="AG3" s="11">
        <v>312500</v>
      </c>
      <c r="AH3" s="2" t="s">
        <v>67</v>
      </c>
    </row>
    <row r="4" spans="1:34" x14ac:dyDescent="0.25">
      <c r="X4" s="15"/>
      <c r="Y4" s="12"/>
      <c r="AA4" s="15" t="s">
        <v>162</v>
      </c>
      <c r="AB4" s="20">
        <v>43922</v>
      </c>
      <c r="AC4" s="2" t="s">
        <v>18</v>
      </c>
      <c r="AD4" s="2" t="s">
        <v>19</v>
      </c>
      <c r="AE4" s="17">
        <v>150</v>
      </c>
      <c r="AF4" s="11">
        <v>500</v>
      </c>
      <c r="AG4" s="11">
        <v>75000</v>
      </c>
      <c r="AH4" s="2" t="s">
        <v>67</v>
      </c>
    </row>
    <row r="5" spans="1:34" x14ac:dyDescent="0.25">
      <c r="B5" s="2" t="s">
        <v>50</v>
      </c>
      <c r="C5" s="20" t="s">
        <v>51</v>
      </c>
      <c r="D5" s="2" t="s">
        <v>52</v>
      </c>
      <c r="E5" s="2" t="s">
        <v>53</v>
      </c>
      <c r="F5" s="2" t="s">
        <v>54</v>
      </c>
      <c r="G5" s="2" t="s">
        <v>55</v>
      </c>
      <c r="H5" s="11" t="s">
        <v>56</v>
      </c>
      <c r="I5" s="2" t="s">
        <v>1</v>
      </c>
      <c r="V5" s="15"/>
      <c r="W5" s="12"/>
      <c r="AA5" s="15" t="s">
        <v>163</v>
      </c>
      <c r="AB5" s="20">
        <v>43923</v>
      </c>
      <c r="AC5" s="2" t="s">
        <v>21</v>
      </c>
      <c r="AD5" s="2" t="s">
        <v>22</v>
      </c>
      <c r="AE5" s="17">
        <v>795</v>
      </c>
      <c r="AF5" s="11">
        <v>700</v>
      </c>
      <c r="AG5" s="11">
        <v>556500</v>
      </c>
      <c r="AH5" s="2" t="s">
        <v>5</v>
      </c>
    </row>
    <row r="6" spans="1:34" x14ac:dyDescent="0.25">
      <c r="B6" s="15" t="s">
        <v>162</v>
      </c>
      <c r="C6" s="20">
        <v>43922</v>
      </c>
      <c r="D6" s="2" t="s">
        <v>21</v>
      </c>
      <c r="E6" s="2" t="s">
        <v>22</v>
      </c>
      <c r="F6" s="17">
        <v>835</v>
      </c>
      <c r="G6" s="11">
        <v>700</v>
      </c>
      <c r="H6" s="11">
        <f>TACHAT[QTE]*TACHAT[PU]</f>
        <v>584500</v>
      </c>
      <c r="I6" s="2" t="s">
        <v>67</v>
      </c>
      <c r="V6" s="15"/>
      <c r="W6" s="12"/>
      <c r="AA6" s="15" t="s">
        <v>186</v>
      </c>
      <c r="AB6" s="20">
        <v>43925</v>
      </c>
      <c r="AC6" s="2" t="s">
        <v>21</v>
      </c>
      <c r="AD6" s="2" t="s">
        <v>22</v>
      </c>
      <c r="AE6" s="17">
        <v>100</v>
      </c>
      <c r="AF6" s="11">
        <v>700</v>
      </c>
      <c r="AG6" s="11">
        <v>70000</v>
      </c>
      <c r="AH6" s="2" t="s">
        <v>5</v>
      </c>
    </row>
    <row r="7" spans="1:34" x14ac:dyDescent="0.25">
      <c r="B7" s="15" t="s">
        <v>162</v>
      </c>
      <c r="C7" s="20">
        <v>43922</v>
      </c>
      <c r="D7" s="2" t="s">
        <v>31</v>
      </c>
      <c r="E7" s="2" t="s">
        <v>32</v>
      </c>
      <c r="F7" s="17">
        <v>250</v>
      </c>
      <c r="G7" s="11">
        <v>1250</v>
      </c>
      <c r="H7" s="11">
        <f>TACHAT[QTE]*TACHAT[PU]</f>
        <v>312500</v>
      </c>
      <c r="I7" s="2" t="s">
        <v>67</v>
      </c>
      <c r="V7" s="15"/>
      <c r="W7" s="12"/>
      <c r="AA7" s="15" t="s">
        <v>186</v>
      </c>
      <c r="AB7" s="20">
        <v>43925</v>
      </c>
      <c r="AC7" s="2" t="s">
        <v>43</v>
      </c>
      <c r="AD7" s="2" t="s">
        <v>44</v>
      </c>
      <c r="AE7" s="17">
        <v>150</v>
      </c>
      <c r="AF7" s="11">
        <v>950</v>
      </c>
      <c r="AG7" s="11">
        <v>142500</v>
      </c>
      <c r="AH7" s="2" t="s">
        <v>5</v>
      </c>
    </row>
    <row r="8" spans="1:34" x14ac:dyDescent="0.25">
      <c r="B8" s="15" t="s">
        <v>162</v>
      </c>
      <c r="C8" s="20">
        <v>43922</v>
      </c>
      <c r="D8" s="2" t="s">
        <v>18</v>
      </c>
      <c r="E8" s="2" t="s">
        <v>19</v>
      </c>
      <c r="F8" s="17">
        <v>150</v>
      </c>
      <c r="G8" s="11">
        <v>500</v>
      </c>
      <c r="H8" s="11">
        <f>TACHAT[QTE]*TACHAT[PU]</f>
        <v>75000</v>
      </c>
      <c r="I8" s="2" t="s">
        <v>67</v>
      </c>
      <c r="V8" s="15"/>
      <c r="W8" s="12"/>
      <c r="AA8" s="11"/>
      <c r="AB8" s="11"/>
      <c r="AD8" s="13"/>
    </row>
    <row r="9" spans="1:34" x14ac:dyDescent="0.25">
      <c r="B9" s="15" t="s">
        <v>163</v>
      </c>
      <c r="C9" s="20">
        <v>43923</v>
      </c>
      <c r="D9" s="2" t="s">
        <v>21</v>
      </c>
      <c r="E9" s="2" t="s">
        <v>22</v>
      </c>
      <c r="F9" s="17">
        <v>795</v>
      </c>
      <c r="G9" s="11">
        <v>700</v>
      </c>
      <c r="H9" s="11">
        <f>TACHAT[QTE]*TACHAT[PU]</f>
        <v>556500</v>
      </c>
      <c r="I9" s="2" t="s">
        <v>5</v>
      </c>
      <c r="V9" s="15"/>
      <c r="W9" s="12"/>
      <c r="AA9" s="11"/>
      <c r="AB9" s="11"/>
      <c r="AD9" s="13"/>
    </row>
    <row r="10" spans="1:34" x14ac:dyDescent="0.25">
      <c r="B10" s="15" t="s">
        <v>186</v>
      </c>
      <c r="C10" s="20">
        <v>43925</v>
      </c>
      <c r="D10" s="2" t="s">
        <v>21</v>
      </c>
      <c r="E10" s="2" t="s">
        <v>22</v>
      </c>
      <c r="F10" s="17">
        <v>100</v>
      </c>
      <c r="G10" s="11">
        <v>700</v>
      </c>
      <c r="H10" s="11">
        <f>TACHAT[QTE]*TACHAT[PU]</f>
        <v>70000</v>
      </c>
      <c r="I10" s="2" t="s">
        <v>5</v>
      </c>
      <c r="V10" s="15"/>
      <c r="W10" s="12"/>
      <c r="AA10" s="11"/>
      <c r="AB10" s="11"/>
      <c r="AD10" s="13"/>
    </row>
    <row r="11" spans="1:34" x14ac:dyDescent="0.25">
      <c r="B11" s="15" t="s">
        <v>186</v>
      </c>
      <c r="C11" s="20">
        <v>43925</v>
      </c>
      <c r="D11" s="2" t="s">
        <v>43</v>
      </c>
      <c r="E11" s="2" t="s">
        <v>44</v>
      </c>
      <c r="F11" s="17">
        <v>150</v>
      </c>
      <c r="G11" s="11">
        <v>950</v>
      </c>
      <c r="H11" s="11">
        <f>TACHAT[QTE]*TACHAT[PU]</f>
        <v>142500</v>
      </c>
      <c r="I11" s="2" t="s">
        <v>5</v>
      </c>
      <c r="V11" s="15"/>
      <c r="W11" s="12"/>
      <c r="AA11" s="11"/>
      <c r="AB11" s="11"/>
      <c r="AD11" s="13"/>
    </row>
    <row r="12" spans="1:34" x14ac:dyDescent="0.25">
      <c r="X12" s="15"/>
      <c r="Y12" s="12"/>
      <c r="AC12" s="11"/>
      <c r="AD12" s="11"/>
      <c r="AF12" s="13"/>
    </row>
    <row r="13" spans="1:34" x14ac:dyDescent="0.25">
      <c r="X13" s="15"/>
      <c r="Y13" s="12"/>
      <c r="AC13" s="11"/>
      <c r="AD13" s="11"/>
      <c r="AF13" s="13"/>
    </row>
    <row r="14" spans="1:34" x14ac:dyDescent="0.25">
      <c r="X14" s="15"/>
      <c r="Y14" s="12"/>
      <c r="AC14" s="11"/>
      <c r="AD14" s="11"/>
      <c r="AF14" s="13"/>
      <c r="AG14" s="13"/>
    </row>
    <row r="15" spans="1:34" x14ac:dyDescent="0.25">
      <c r="X15" s="15"/>
      <c r="Y15" s="12"/>
      <c r="AC15" s="11"/>
      <c r="AD15" s="11"/>
      <c r="AF15" s="13"/>
      <c r="AG15" s="13"/>
    </row>
    <row r="16" spans="1:34" x14ac:dyDescent="0.25">
      <c r="X16" s="15"/>
      <c r="Y16" s="12"/>
      <c r="AC16" s="11"/>
      <c r="AD16" s="11"/>
      <c r="AF16" s="13"/>
      <c r="AG16" s="13"/>
    </row>
    <row r="17" spans="24:33" x14ac:dyDescent="0.25">
      <c r="X17" s="15"/>
      <c r="Y17" s="12"/>
      <c r="AC17" s="11"/>
      <c r="AD17" s="11"/>
      <c r="AF17" s="13"/>
      <c r="AG17" s="13"/>
    </row>
    <row r="18" spans="24:33" x14ac:dyDescent="0.25">
      <c r="X18" s="15"/>
      <c r="Y18" s="12"/>
      <c r="AC18" s="11"/>
      <c r="AD18" s="11"/>
      <c r="AF18" s="13"/>
      <c r="AG18" s="13"/>
    </row>
    <row r="19" spans="24:33" x14ac:dyDescent="0.25">
      <c r="X19" s="15"/>
      <c r="Y19" s="12"/>
      <c r="AC19" s="11"/>
      <c r="AD19" s="11"/>
      <c r="AF19" s="13"/>
      <c r="AG19" s="13"/>
    </row>
  </sheetData>
  <conditionalFormatting sqref="B6:I11">
    <cfRule type="expression" dxfId="49" priority="2">
      <formula>#REF!="FERMER"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pageSetUpPr fitToPage="1"/>
  </sheetPr>
  <dimension ref="A1:H29"/>
  <sheetViews>
    <sheetView workbookViewId="0">
      <selection activeCell="G7" sqref="G7"/>
    </sheetView>
  </sheetViews>
  <sheetFormatPr defaultColWidth="11.42578125" defaultRowHeight="15" x14ac:dyDescent="0.25"/>
  <cols>
    <col min="1" max="2" width="11.42578125" style="89"/>
    <col min="3" max="3" width="16.140625" style="89" bestFit="1" customWidth="1"/>
    <col min="4" max="4" width="25" style="89" bestFit="1" customWidth="1"/>
    <col min="5" max="5" width="11.42578125" style="89"/>
    <col min="6" max="6" width="14.42578125" style="89" bestFit="1" customWidth="1"/>
    <col min="7" max="7" width="17.28515625" style="89" bestFit="1" customWidth="1"/>
    <col min="8" max="16384" width="11.42578125" style="89"/>
  </cols>
  <sheetData>
    <row r="1" spans="1:8" x14ac:dyDescent="0.25">
      <c r="B1" s="153" t="s">
        <v>66</v>
      </c>
      <c r="C1" s="154"/>
      <c r="D1" s="154"/>
      <c r="E1" s="154"/>
      <c r="F1" s="155"/>
      <c r="G1" s="90"/>
    </row>
    <row r="2" spans="1:8" x14ac:dyDescent="0.25">
      <c r="A2" s="91"/>
      <c r="B2" s="153"/>
      <c r="C2" s="154"/>
      <c r="D2" s="154"/>
      <c r="E2" s="154"/>
      <c r="F2" s="155"/>
      <c r="G2" s="90"/>
    </row>
    <row r="3" spans="1:8" x14ac:dyDescent="0.25">
      <c r="B3" s="153"/>
      <c r="C3" s="154"/>
      <c r="D3" s="154"/>
      <c r="E3" s="154"/>
      <c r="F3" s="155"/>
      <c r="G3" s="90"/>
    </row>
    <row r="4" spans="1:8" ht="15.75" thickBot="1" x14ac:dyDescent="0.3">
      <c r="B4" s="156"/>
      <c r="C4" s="157"/>
      <c r="D4" s="157"/>
      <c r="E4" s="157"/>
      <c r="F4" s="158"/>
      <c r="G4" s="90"/>
    </row>
    <row r="5" spans="1:8" ht="15.75" thickBot="1" x14ac:dyDescent="0.3"/>
    <row r="6" spans="1:8" ht="22.5" thickTop="1" thickBot="1" x14ac:dyDescent="0.55000000000000004">
      <c r="F6" s="92" t="s">
        <v>57</v>
      </c>
      <c r="G6" s="93">
        <f>IFERROR(VLOOKUP(G7,TACHAT[],2,0),"")</f>
        <v>43925</v>
      </c>
      <c r="H6" s="90"/>
    </row>
    <row r="7" spans="1:8" ht="22.5" thickTop="1" thickBot="1" x14ac:dyDescent="0.55000000000000004">
      <c r="C7" s="94"/>
      <c r="D7" s="94"/>
      <c r="F7" s="95" t="s">
        <v>58</v>
      </c>
      <c r="G7" s="96" t="s">
        <v>186</v>
      </c>
      <c r="H7" s="90"/>
    </row>
    <row r="8" spans="1:8" ht="22.5" thickTop="1" thickBot="1" x14ac:dyDescent="0.55000000000000004">
      <c r="C8" s="92" t="s">
        <v>65</v>
      </c>
      <c r="D8" s="97" t="str">
        <f>IFERROR(VLOOKUP($G$7,TACHAT[],8,0),"")</f>
        <v>NOUFEL</v>
      </c>
    </row>
    <row r="9" spans="1:8" ht="22.5" thickTop="1" thickBot="1" x14ac:dyDescent="0.55000000000000004">
      <c r="C9" s="98"/>
      <c r="D9" s="96" t="str">
        <f>IFERROR(VLOOKUP($D$8,TFOURNISSEUR[],2,0),"")</f>
        <v>CHERAGA</v>
      </c>
      <c r="E9" s="90"/>
    </row>
    <row r="10" spans="1:8" ht="22.5" thickTop="1" thickBot="1" x14ac:dyDescent="0.55000000000000004">
      <c r="C10" s="98"/>
      <c r="D10" s="96" t="str">
        <f>IFERROR(VLOOKUP($D$8,TFOURNISSEUR[],3,0),"")</f>
        <v>ALGER</v>
      </c>
    </row>
    <row r="11" spans="1:8" ht="22.5" thickTop="1" thickBot="1" x14ac:dyDescent="0.55000000000000004">
      <c r="C11" s="95"/>
      <c r="D11" s="96" t="str">
        <f>IFERROR(VLOOKUP($D$8,TFOURNISSEUR[],4,0),"")</f>
        <v>0770212135</v>
      </c>
      <c r="E11" s="99"/>
    </row>
    <row r="12" spans="1:8" ht="15.75" thickTop="1" x14ac:dyDescent="0.25">
      <c r="B12" s="100" t="s">
        <v>46</v>
      </c>
      <c r="C12" s="101" t="s">
        <v>59</v>
      </c>
      <c r="D12" s="102" t="s">
        <v>60</v>
      </c>
      <c r="E12" s="100" t="s">
        <v>54</v>
      </c>
      <c r="F12" s="100" t="s">
        <v>61</v>
      </c>
      <c r="G12" s="100" t="s">
        <v>56</v>
      </c>
    </row>
    <row r="13" spans="1:8" x14ac:dyDescent="0.25">
      <c r="B13" s="103">
        <f>IF(C13&lt;&gt;"",ROW()-12,"")</f>
        <v>1</v>
      </c>
      <c r="C13" s="91" t="str">
        <f t="array" ref="C13">IFERROR(INDEX(TACHAT[N° ART],SMALL(IF(TACHAT[N° D''ACHAT]=$G$7,ROW(TACHAT[N° ART])-5),ROW()-12)),"")</f>
        <v>MN</v>
      </c>
      <c r="D13" s="104" t="str">
        <f t="array" ref="D13">IFERROR(INDEX(TACHAT[NOM ART],SMALL(IF(TACHAT[N° D''ACHAT]=$G$7,ROW(TACHAT[NOM ART])-5),ROW()-12)),"")</f>
        <v>MASSIF NOUFEL</v>
      </c>
      <c r="E13" s="100">
        <f t="array" ref="E13">IFERROR(INDEX(TACHAT[QTE],SMALL(IF(TACHAT[N° D''ACHAT]=$G$7,ROW(TACHAT[QTE])-5),ROW()-12)),"")</f>
        <v>100</v>
      </c>
      <c r="F13" s="100">
        <f t="array" ref="F13">IFERROR(INDEX(TACHAT[PU],SMALL(IF(TACHAT[N° D''ACHAT]=$G$7,ROW(TACHAT[PU])-5),ROW()-12)),"")</f>
        <v>700</v>
      </c>
      <c r="G13" s="105">
        <f>IFERROR(E13*F13,"")</f>
        <v>70000</v>
      </c>
    </row>
    <row r="14" spans="1:8" x14ac:dyDescent="0.25">
      <c r="B14" s="91">
        <f t="shared" ref="B14:B25" si="0">IF(C14&lt;&gt;"",ROW()-12,"")</f>
        <v>2</v>
      </c>
      <c r="C14" s="91" t="str">
        <f t="array" ref="C14">IFERROR(INDEX(TACHAT[N° ART],SMALL(IF(TACHAT[N° D''ACHAT]=$G$7,ROW(TACHAT[N° ART])-5),ROW()-12)),"")</f>
        <v>PR</v>
      </c>
      <c r="D14" s="91" t="str">
        <f t="array" ref="D14">IFERROR(INDEX(TACHAT[NOM ART],SMALL(IF(TACHAT[N° D''ACHAT]=$G$7,ROW(TACHAT[NOM ART])-5),ROW()-12)),"")</f>
        <v>PARURE</v>
      </c>
      <c r="E14" s="91">
        <f t="array" ref="E14">IFERROR(INDEX(TACHAT[QTE],SMALL(IF(TACHAT[N° D''ACHAT]=$G$7,ROW(TACHAT[QTE])-5),ROW()-12)),"")</f>
        <v>150</v>
      </c>
      <c r="F14" s="91">
        <f t="array" ref="F14">IFERROR(INDEX(TACHAT[PU],SMALL(IF(TACHAT[N° D''ACHAT]=$G$7,ROW(TACHAT[PU])-5),ROW()-12)),"")</f>
        <v>950</v>
      </c>
      <c r="G14" s="106">
        <f t="shared" ref="G14:G25" si="1">IFERROR(E14*F14,"")</f>
        <v>142500</v>
      </c>
    </row>
    <row r="15" spans="1:8" x14ac:dyDescent="0.25">
      <c r="B15" s="91" t="str">
        <f t="shared" si="0"/>
        <v/>
      </c>
      <c r="C15" s="91" t="str">
        <f t="array" ref="C15">IFERROR(INDEX(TACHAT[N° ART],SMALL(IF(TACHAT[N° D''ACHAT]=$G$7,ROW(TACHAT[N° ART])-5),ROW()-12)),"")</f>
        <v/>
      </c>
      <c r="D15" s="91" t="str">
        <f t="array" ref="D15">IFERROR(INDEX(TACHAT[NOM ART],SMALL(IF(TACHAT[N° D''ACHAT]=$G$7,ROW(TACHAT[NOM ART])-5),ROW()-12)),"")</f>
        <v/>
      </c>
      <c r="E15" s="91" t="str">
        <f t="array" ref="E15">IFERROR(INDEX(TACHAT[QTE],SMALL(IF(TACHAT[N° D''ACHAT]=$G$7,ROW(TACHAT[QTE])-5),ROW()-12)),"")</f>
        <v/>
      </c>
      <c r="F15" s="91" t="str">
        <f t="array" ref="F15">IFERROR(INDEX(TACHAT[PU],SMALL(IF(TACHAT[N° D''ACHAT]=$G$7,ROW(TACHAT[PU])-5),ROW()-12)),"")</f>
        <v/>
      </c>
      <c r="G15" s="106" t="str">
        <f t="shared" si="1"/>
        <v/>
      </c>
    </row>
    <row r="16" spans="1:8" x14ac:dyDescent="0.25">
      <c r="B16" s="91" t="str">
        <f t="shared" si="0"/>
        <v/>
      </c>
      <c r="C16" s="91" t="str">
        <f t="array" ref="C16">IFERROR(INDEX(TACHAT[N° ART],SMALL(IF(TACHAT[N° D''ACHAT]=$G$7,ROW(TACHAT[N° ART])-5),ROW()-12)),"")</f>
        <v/>
      </c>
      <c r="D16" s="91" t="str">
        <f t="array" ref="D16">IFERROR(INDEX(TACHAT[NOM ART],SMALL(IF(TACHAT[N° D''ACHAT]=$G$7,ROW(TACHAT[NOM ART])-5),ROW()-12)),"")</f>
        <v/>
      </c>
      <c r="E16" s="91" t="str">
        <f t="array" ref="E16">IFERROR(INDEX(TACHAT[QTE],SMALL(IF(TACHAT[N° D''ACHAT]=$G$7,ROW(TACHAT[QTE])-5),ROW()-12)),"")</f>
        <v/>
      </c>
      <c r="F16" s="91" t="str">
        <f t="array" ref="F16">IFERROR(INDEX(TACHAT[PU],SMALL(IF(TACHAT[N° D''ACHAT]=$G$7,ROW(TACHAT[PU])-5),ROW()-12)),"")</f>
        <v/>
      </c>
      <c r="G16" s="106" t="str">
        <f t="shared" si="1"/>
        <v/>
      </c>
    </row>
    <row r="17" spans="2:7" x14ac:dyDescent="0.25">
      <c r="B17" s="91" t="str">
        <f t="shared" si="0"/>
        <v/>
      </c>
      <c r="C17" s="91" t="str">
        <f t="array" ref="C17">IFERROR(INDEX(TACHAT[N° ART],SMALL(IF(TACHAT[N° D''ACHAT]=$G$7,ROW(TACHAT[N° ART])-5),ROW()-12)),"")</f>
        <v/>
      </c>
      <c r="D17" s="91" t="str">
        <f t="array" ref="D17">IFERROR(INDEX(TACHAT[NOM ART],SMALL(IF(TACHAT[N° D''ACHAT]=$G$7,ROW(TACHAT[NOM ART])-5),ROW()-12)),"")</f>
        <v/>
      </c>
      <c r="E17" s="91" t="str">
        <f t="array" ref="E17">IFERROR(INDEX(TACHAT[QTE],SMALL(IF(TACHAT[N° D''ACHAT]=$G$7,ROW(TACHAT[QTE])-5),ROW()-12)),"")</f>
        <v/>
      </c>
      <c r="F17" s="91" t="str">
        <f t="array" ref="F17">IFERROR(INDEX(TACHAT[PU],SMALL(IF(TACHAT[N° D''ACHAT]=$G$7,ROW(TACHAT[PU])-5),ROW()-12)),"")</f>
        <v/>
      </c>
      <c r="G17" s="106" t="str">
        <f t="shared" si="1"/>
        <v/>
      </c>
    </row>
    <row r="18" spans="2:7" x14ac:dyDescent="0.25">
      <c r="B18" s="91" t="str">
        <f t="shared" si="0"/>
        <v/>
      </c>
      <c r="C18" s="91" t="str">
        <f t="array" ref="C18">IFERROR(INDEX(TACHAT[N° ART],SMALL(IF(TACHAT[N° D''ACHAT]=$G$7,ROW(TACHAT[N° ART])-5),ROW()-12)),"")</f>
        <v/>
      </c>
      <c r="D18" s="91" t="str">
        <f t="array" ref="D18">IFERROR(INDEX(TACHAT[NOM ART],SMALL(IF(TACHAT[N° D''ACHAT]=$G$7,ROW(TACHAT[NOM ART])-5),ROW()-12)),"")</f>
        <v/>
      </c>
      <c r="E18" s="91" t="str">
        <f t="array" ref="E18">IFERROR(INDEX(TACHAT[QTE],SMALL(IF(TACHAT[N° D''ACHAT]=$G$7,ROW(TACHAT[QTE])-5),ROW()-12)),"")</f>
        <v/>
      </c>
      <c r="F18" s="91" t="str">
        <f t="array" ref="F18">IFERROR(INDEX(TACHAT[PU],SMALL(IF(TACHAT[N° D''ACHAT]=$G$7,ROW(TACHAT[PU])-5),ROW()-12)),"")</f>
        <v/>
      </c>
      <c r="G18" s="106" t="str">
        <f t="shared" si="1"/>
        <v/>
      </c>
    </row>
    <row r="19" spans="2:7" x14ac:dyDescent="0.25">
      <c r="B19" s="91"/>
      <c r="C19" s="91" t="str">
        <f t="array" ref="C19">IFERROR(INDEX(TACHAT[N° ART],SMALL(IF(TACHAT[N° D''ACHAT]=$G$7,ROW(TACHAT[N° ART])-5),ROW()-12)),"")</f>
        <v/>
      </c>
      <c r="D19" s="91" t="str">
        <f t="array" ref="D19">IFERROR(INDEX(TACHAT[NOM ART],SMALL(IF(TACHAT[N° D''ACHAT]=$G$7,ROW(TACHAT[NOM ART])-5),ROW()-12)),"")</f>
        <v/>
      </c>
      <c r="E19" s="91" t="str">
        <f t="array" ref="E19">IFERROR(INDEX(TACHAT[QTE],SMALL(IF(TACHAT[N° D''ACHAT]=$G$7,ROW(TACHAT[QTE])-5),ROW()-12)),"")</f>
        <v/>
      </c>
      <c r="F19" s="91" t="str">
        <f t="array" ref="F19">IFERROR(INDEX(TACHAT[PU],SMALL(IF(TACHAT[N° D''ACHAT]=$G$7,ROW(TACHAT[PU])-5),ROW()-12)),"")</f>
        <v/>
      </c>
      <c r="G19" s="106" t="str">
        <f t="shared" si="1"/>
        <v/>
      </c>
    </row>
    <row r="20" spans="2:7" x14ac:dyDescent="0.25">
      <c r="B20" s="91" t="str">
        <f t="shared" si="0"/>
        <v/>
      </c>
      <c r="C20" s="91" t="str">
        <f t="array" ref="C20">IFERROR(INDEX(TACHAT[N° ART],SMALL(IF(TACHAT[N° D''ACHAT]=$G$7,ROW(TACHAT[N° ART])-5),ROW()-12)),"")</f>
        <v/>
      </c>
      <c r="D20" s="91" t="str">
        <f t="array" ref="D20">IFERROR(INDEX(TACHAT[NOM ART],SMALL(IF(TACHAT[N° D''ACHAT]=$G$7,ROW(TACHAT[NOM ART])-5),ROW()-12)),"")</f>
        <v/>
      </c>
      <c r="E20" s="91" t="str">
        <f t="array" ref="E20">IFERROR(INDEX(TACHAT[QTE],SMALL(IF(TACHAT[N° D''ACHAT]=$G$7,ROW(TACHAT[QTE])-5),ROW()-12)),"")</f>
        <v/>
      </c>
      <c r="F20" s="91" t="str">
        <f t="array" ref="F20">IFERROR(INDEX(TACHAT[PU],SMALL(IF(TACHAT[N° D''ACHAT]=$G$7,ROW(TACHAT[PU])-5),ROW()-12)),"")</f>
        <v/>
      </c>
      <c r="G20" s="106" t="str">
        <f t="shared" si="1"/>
        <v/>
      </c>
    </row>
    <row r="21" spans="2:7" x14ac:dyDescent="0.25">
      <c r="B21" s="91" t="str">
        <f t="shared" si="0"/>
        <v/>
      </c>
      <c r="C21" s="91" t="str">
        <f t="array" ref="C21">IFERROR(INDEX(TACHAT[N° ART],SMALL(IF(TACHAT[N° D''ACHAT]=$G$7,ROW(TACHAT[N° ART])-5),ROW()-12)),"")</f>
        <v/>
      </c>
      <c r="D21" s="91" t="str">
        <f t="array" ref="D21">IFERROR(INDEX(TACHAT[NOM ART],SMALL(IF(TACHAT[N° D''ACHAT]=$G$7,ROW(TACHAT[NOM ART])-5),ROW()-12)),"")</f>
        <v/>
      </c>
      <c r="E21" s="91" t="str">
        <f t="array" ref="E21">IFERROR(INDEX(TACHAT[QTE],SMALL(IF(TACHAT[N° D''ACHAT]=$G$7,ROW(TACHAT[QTE])-5),ROW()-12)),"")</f>
        <v/>
      </c>
      <c r="F21" s="91" t="str">
        <f t="array" ref="F21">IFERROR(INDEX(TACHAT[PU],SMALL(IF(TACHAT[N° D''ACHAT]=$G$7,ROW(TACHAT[PU])-5),ROW()-12)),"")</f>
        <v/>
      </c>
      <c r="G21" s="106" t="str">
        <f t="shared" si="1"/>
        <v/>
      </c>
    </row>
    <row r="22" spans="2:7" x14ac:dyDescent="0.25">
      <c r="B22" s="91" t="str">
        <f t="shared" si="0"/>
        <v/>
      </c>
      <c r="C22" s="91" t="str">
        <f t="array" ref="C22">IFERROR(INDEX(TACHAT[N° ART],SMALL(IF(TACHAT[N° D''ACHAT]=$G$7,ROW(TACHAT[N° ART])-5),ROW()-12)),"")</f>
        <v/>
      </c>
      <c r="D22" s="91" t="str">
        <f t="array" ref="D22">IFERROR(INDEX(TACHAT[NOM ART],SMALL(IF(TACHAT[N° D''ACHAT]=$G$7,ROW(TACHAT[NOM ART])-5),ROW()-12)),"")</f>
        <v/>
      </c>
      <c r="E22" s="91" t="str">
        <f t="array" ref="E22">IFERROR(INDEX(TACHAT[QTE],SMALL(IF(TACHAT[N° D''ACHAT]=$G$7,ROW(TACHAT[QTE])-5),ROW()-12)),"")</f>
        <v/>
      </c>
      <c r="F22" s="91" t="str">
        <f t="array" ref="F22">IFERROR(INDEX(TACHAT[PU],SMALL(IF(TACHAT[N° D''ACHAT]=$G$7,ROW(TACHAT[PU])-5),ROW()-12)),"")</f>
        <v/>
      </c>
      <c r="G22" s="106" t="str">
        <f t="shared" si="1"/>
        <v/>
      </c>
    </row>
    <row r="23" spans="2:7" x14ac:dyDescent="0.25">
      <c r="B23" s="91" t="str">
        <f t="shared" si="0"/>
        <v/>
      </c>
      <c r="C23" s="91" t="str">
        <f t="array" ref="C23">IFERROR(INDEX(TACHAT[N° ART],SMALL(IF(TACHAT[N° D''ACHAT]=$G$7,ROW(TACHAT[N° ART])-5),ROW()-12)),"")</f>
        <v/>
      </c>
      <c r="D23" s="91" t="str">
        <f t="array" ref="D23">IFERROR(INDEX(TACHAT[NOM ART],SMALL(IF(TACHAT[N° D''ACHAT]=$G$7,ROW(TACHAT[NOM ART])-5),ROW()-12)),"")</f>
        <v/>
      </c>
      <c r="E23" s="91" t="str">
        <f t="array" ref="E23">IFERROR(INDEX(TACHAT[QTE],SMALL(IF(TACHAT[N° D''ACHAT]=$G$7,ROW(TACHAT[QTE])-5),ROW()-12)),"")</f>
        <v/>
      </c>
      <c r="F23" s="91" t="str">
        <f t="array" ref="F23">IFERROR(INDEX(TACHAT[PU],SMALL(IF(TACHAT[N° D''ACHAT]=$G$7,ROW(TACHAT[PU])-5),ROW()-12)),"")</f>
        <v/>
      </c>
      <c r="G23" s="106" t="str">
        <f t="shared" si="1"/>
        <v/>
      </c>
    </row>
    <row r="24" spans="2:7" x14ac:dyDescent="0.25">
      <c r="B24" s="91" t="str">
        <f t="shared" si="0"/>
        <v/>
      </c>
      <c r="C24" s="91" t="str">
        <f t="array" ref="C24">IFERROR(INDEX(TACHAT[N° ART],SMALL(IF(TACHAT[N° D''ACHAT]=$G$7,ROW(TACHAT[N° ART])-5),ROW()-12)),"")</f>
        <v/>
      </c>
      <c r="D24" s="91" t="str">
        <f t="array" ref="D24">IFERROR(INDEX(TACHAT[NOM ART],SMALL(IF(TACHAT[N° D''ACHAT]=$G$7,ROW(TACHAT[NOM ART])-5),ROW()-12)),"")</f>
        <v/>
      </c>
      <c r="E24" s="91" t="str">
        <f t="array" ref="E24">IFERROR(INDEX(TACHAT[QTE],SMALL(IF(TACHAT[N° D''ACHAT]=$G$7,ROW(TACHAT[QTE])-5),ROW()-12)),"")</f>
        <v/>
      </c>
      <c r="F24" s="91" t="str">
        <f t="array" ref="F24">IFERROR(INDEX(TACHAT[PU],SMALL(IF(TACHAT[N° D''ACHAT]=$G$7,ROW(TACHAT[PU])-5),ROW()-12)),"")</f>
        <v/>
      </c>
      <c r="G24" s="106" t="str">
        <f t="shared" si="1"/>
        <v/>
      </c>
    </row>
    <row r="25" spans="2:7" x14ac:dyDescent="0.25">
      <c r="B25" s="91" t="str">
        <f t="shared" si="0"/>
        <v/>
      </c>
      <c r="C25" s="91" t="str">
        <f t="array" ref="C25">IFERROR(INDEX(TACHAT[N° ART],SMALL(IF(TACHAT[N° D''ACHAT]=$G$7,ROW(TACHAT[N° ART])-5),ROW()-12)),"")</f>
        <v/>
      </c>
      <c r="D25" s="91" t="str">
        <f t="array" ref="D25">IFERROR(INDEX(TACHAT[NOM ART],SMALL(IF(TACHAT[N° D''ACHAT]=$G$7,ROW(TACHAT[NOM ART])-5),ROW()-12)),"")</f>
        <v/>
      </c>
      <c r="E25" s="91" t="str">
        <f t="array" ref="E25">IFERROR(INDEX(TACHAT[QTE],SMALL(IF(TACHAT[N° D''ACHAT]=$G$7,ROW(TACHAT[QTE])-5),ROW()-12)),"")</f>
        <v/>
      </c>
      <c r="F25" s="91" t="str">
        <f t="array" ref="F25">IFERROR(INDEX(TACHAT[PU],SMALL(IF(TACHAT[N° D''ACHAT]=$G$7,ROW(TACHAT[PU])-5),ROW()-12)),"")</f>
        <v/>
      </c>
      <c r="G25" s="106" t="str">
        <f t="shared" si="1"/>
        <v/>
      </c>
    </row>
    <row r="26" spans="2:7" ht="15.75" thickBot="1" x14ac:dyDescent="0.3">
      <c r="B26" s="107"/>
      <c r="C26" s="107"/>
      <c r="D26" s="107"/>
      <c r="E26" s="107"/>
      <c r="F26" s="107"/>
      <c r="G26" s="107"/>
    </row>
    <row r="27" spans="2:7" ht="21.75" thickBot="1" x14ac:dyDescent="0.55000000000000004">
      <c r="B27" s="108" t="s">
        <v>63</v>
      </c>
      <c r="C27" s="109">
        <v>0</v>
      </c>
      <c r="F27" s="110" t="s">
        <v>62</v>
      </c>
      <c r="G27" s="111">
        <f>SUM(G13:G26)</f>
        <v>212500</v>
      </c>
    </row>
    <row r="28" spans="2:7" ht="21.75" thickBot="1" x14ac:dyDescent="0.55000000000000004">
      <c r="F28" s="110" t="s">
        <v>63</v>
      </c>
      <c r="G28" s="111">
        <f>G27*C27</f>
        <v>0</v>
      </c>
    </row>
    <row r="29" spans="2:7" ht="21.75" thickBot="1" x14ac:dyDescent="0.55000000000000004">
      <c r="F29" s="110" t="s">
        <v>64</v>
      </c>
      <c r="G29" s="112">
        <f>G27+G28</f>
        <v>212500</v>
      </c>
    </row>
  </sheetData>
  <mergeCells count="1">
    <mergeCell ref="B1:F4"/>
  </mergeCells>
  <conditionalFormatting sqref="B13:G25">
    <cfRule type="expression" dxfId="38" priority="1">
      <formula>$B13&lt;&gt; ""</formula>
    </cfRule>
  </conditionalFormatting>
  <dataValidations count="1">
    <dataValidation type="list" allowBlank="1" showInputMessage="1" showErrorMessage="1" sqref="G7" xr:uid="{00000000-0002-0000-0700-000000000000}">
      <formula1>NACHT</formula1>
    </dataValidation>
  </dataValidations>
  <pageMargins left="0.70866141732283472" right="0.70866141732283472" top="0.74803149606299213" bottom="0.74803149606299213" header="0.31496062992125984" footer="0.31496062992125984"/>
  <pageSetup paperSize="9" scale="9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/>
  <dimension ref="B1:AL9"/>
  <sheetViews>
    <sheetView workbookViewId="0">
      <selection activeCell="V4" sqref="V4"/>
    </sheetView>
  </sheetViews>
  <sheetFormatPr defaultColWidth="11.42578125" defaultRowHeight="21" x14ac:dyDescent="0.25"/>
  <cols>
    <col min="1" max="1" width="11.42578125" style="10"/>
    <col min="2" max="2" width="19.7109375" style="10" customWidth="1"/>
    <col min="3" max="3" width="18.5703125" style="10" customWidth="1"/>
    <col min="4" max="4" width="17.28515625" style="10" bestFit="1" customWidth="1"/>
    <col min="5" max="5" width="20.5703125" style="10" customWidth="1"/>
    <col min="6" max="6" width="26.42578125" style="10" customWidth="1"/>
    <col min="7" max="7" width="16.28515625" style="10" customWidth="1"/>
    <col min="8" max="8" width="22.140625" style="10" customWidth="1"/>
    <col min="9" max="9" width="9.28515625" style="10" customWidth="1"/>
    <col min="10" max="10" width="12.140625" style="10" customWidth="1"/>
    <col min="11" max="11" width="11.42578125" style="10"/>
    <col min="12" max="12" width="11.5703125" style="10" customWidth="1"/>
    <col min="13" max="16384" width="11.42578125" style="10"/>
  </cols>
  <sheetData>
    <row r="1" spans="2:38" ht="39" x14ac:dyDescent="0.25">
      <c r="X1" s="73" t="s">
        <v>1</v>
      </c>
      <c r="AA1" s="73" t="s">
        <v>157</v>
      </c>
      <c r="AB1" s="73" t="s">
        <v>1</v>
      </c>
      <c r="AC1" s="73" t="s">
        <v>51</v>
      </c>
      <c r="AD1" s="73" t="s">
        <v>158</v>
      </c>
      <c r="AE1" s="73" t="s">
        <v>161</v>
      </c>
      <c r="AF1" s="73" t="s">
        <v>96</v>
      </c>
      <c r="AG1" s="73" t="s">
        <v>97</v>
      </c>
      <c r="AH1" s="73" t="s">
        <v>159</v>
      </c>
      <c r="AI1" s="73" t="s">
        <v>89</v>
      </c>
      <c r="AJ1" s="73" t="s">
        <v>160</v>
      </c>
      <c r="AK1" s="73" t="s">
        <v>90</v>
      </c>
      <c r="AL1" s="73" t="s">
        <v>91</v>
      </c>
    </row>
    <row r="2" spans="2:38" ht="30" x14ac:dyDescent="0.25">
      <c r="AA2" s="59" t="s">
        <v>182</v>
      </c>
      <c r="AB2" s="59" t="s">
        <v>67</v>
      </c>
      <c r="AC2" s="60">
        <v>43924.965624999997</v>
      </c>
      <c r="AD2" s="61">
        <v>250</v>
      </c>
      <c r="AE2" s="62">
        <v>650000</v>
      </c>
      <c r="AF2" s="61"/>
      <c r="AG2" s="62"/>
      <c r="AH2" s="61">
        <v>200</v>
      </c>
      <c r="AI2" s="61">
        <v>13.8</v>
      </c>
      <c r="AJ2" s="61">
        <v>699.7</v>
      </c>
      <c r="AK2" s="61">
        <v>173.71218666666667</v>
      </c>
      <c r="AL2" s="61">
        <v>26.287813333333332</v>
      </c>
    </row>
    <row r="3" spans="2:38" ht="30" x14ac:dyDescent="0.25">
      <c r="V3" t="e">
        <f ca="1">OFFSET($AA$2,0,0,COUNTA($AA$2:$AA$1048500),12)</f>
        <v>#VALUE!</v>
      </c>
      <c r="AA3" s="64" t="s">
        <v>188</v>
      </c>
      <c r="AB3" s="64" t="s">
        <v>68</v>
      </c>
      <c r="AC3" s="65">
        <v>43925.978877314818</v>
      </c>
      <c r="AD3" s="66">
        <v>150</v>
      </c>
      <c r="AE3" s="67">
        <v>150000</v>
      </c>
      <c r="AF3" s="66">
        <v>100</v>
      </c>
      <c r="AG3" s="67">
        <v>65000</v>
      </c>
      <c r="AH3" s="66">
        <v>50</v>
      </c>
      <c r="AI3" s="66">
        <v>3.5</v>
      </c>
      <c r="AJ3" s="66">
        <v>708</v>
      </c>
      <c r="AK3" s="66">
        <v>43.896000000000001</v>
      </c>
      <c r="AL3" s="66">
        <v>6.1039999999999992</v>
      </c>
    </row>
    <row r="4" spans="2:38" ht="30" x14ac:dyDescent="0.25">
      <c r="AA4" s="64" t="s">
        <v>189</v>
      </c>
      <c r="AB4" s="64" t="s">
        <v>5</v>
      </c>
      <c r="AC4" s="65">
        <v>43926.050798611112</v>
      </c>
      <c r="AD4" s="66">
        <v>350</v>
      </c>
      <c r="AE4" s="67">
        <v>360000</v>
      </c>
      <c r="AF4" s="66"/>
      <c r="AG4" s="67"/>
      <c r="AH4" s="66">
        <v>250</v>
      </c>
      <c r="AI4" s="66">
        <v>13.8</v>
      </c>
      <c r="AJ4" s="66">
        <v>765</v>
      </c>
      <c r="AK4" s="66">
        <v>240.92400000000001</v>
      </c>
      <c r="AL4" s="66">
        <v>9.0759999999999934</v>
      </c>
    </row>
    <row r="5" spans="2:38" ht="30" x14ac:dyDescent="0.25">
      <c r="B5" s="41" t="s">
        <v>157</v>
      </c>
      <c r="C5" s="41" t="s">
        <v>1</v>
      </c>
      <c r="D5" s="41" t="s">
        <v>51</v>
      </c>
      <c r="E5" s="41" t="s">
        <v>158</v>
      </c>
      <c r="F5" s="41" t="s">
        <v>161</v>
      </c>
      <c r="G5" s="41" t="s">
        <v>96</v>
      </c>
      <c r="H5" s="41" t="s">
        <v>97</v>
      </c>
      <c r="I5" s="41" t="s">
        <v>159</v>
      </c>
      <c r="J5" s="41" t="s">
        <v>89</v>
      </c>
      <c r="K5" s="41" t="s">
        <v>160</v>
      </c>
      <c r="L5" s="41" t="s">
        <v>90</v>
      </c>
      <c r="M5" s="41" t="s">
        <v>91</v>
      </c>
      <c r="AA5" s="59" t="s">
        <v>197</v>
      </c>
      <c r="AB5" s="59" t="s">
        <v>67</v>
      </c>
      <c r="AC5" s="60">
        <v>43932</v>
      </c>
      <c r="AD5" s="61">
        <v>360</v>
      </c>
      <c r="AE5" s="62">
        <v>600000</v>
      </c>
      <c r="AF5" s="61">
        <v>100</v>
      </c>
      <c r="AG5" s="62">
        <v>6000</v>
      </c>
      <c r="AH5" s="61">
        <v>300</v>
      </c>
      <c r="AI5" s="61">
        <v>14</v>
      </c>
      <c r="AJ5" s="61">
        <v>715</v>
      </c>
      <c r="AK5" s="61">
        <v>272.65333333333331</v>
      </c>
      <c r="AL5" s="61">
        <v>27.346666666666692</v>
      </c>
    </row>
    <row r="6" spans="2:38" x14ac:dyDescent="0.25">
      <c r="B6" s="59" t="s">
        <v>182</v>
      </c>
      <c r="C6" s="59" t="s">
        <v>67</v>
      </c>
      <c r="D6" s="60">
        <v>43924.965624999997</v>
      </c>
      <c r="E6" s="61">
        <v>250</v>
      </c>
      <c r="F6" s="62">
        <v>650000</v>
      </c>
      <c r="G6" s="61"/>
      <c r="H6" s="62"/>
      <c r="I6" s="61">
        <v>200</v>
      </c>
      <c r="J6" s="61">
        <v>13.8</v>
      </c>
      <c r="K6" s="61">
        <v>699.7</v>
      </c>
      <c r="L6" s="61">
        <f>(TVF[OR V]-TVF[FONTE])*TVF[[TITRE ]]/750</f>
        <v>173.71218666666667</v>
      </c>
      <c r="M6" s="61">
        <f>TVF[OR V]-TVF[NET 750]</f>
        <v>26.287813333333332</v>
      </c>
    </row>
    <row r="7" spans="2:38" x14ac:dyDescent="0.25">
      <c r="B7" s="64" t="s">
        <v>188</v>
      </c>
      <c r="C7" s="64" t="s">
        <v>68</v>
      </c>
      <c r="D7" s="65">
        <v>43925.978877314818</v>
      </c>
      <c r="E7" s="66">
        <v>150</v>
      </c>
      <c r="F7" s="67">
        <v>150000</v>
      </c>
      <c r="G7" s="66">
        <v>100</v>
      </c>
      <c r="H7" s="67">
        <v>65000</v>
      </c>
      <c r="I7" s="66">
        <v>50</v>
      </c>
      <c r="J7" s="66">
        <v>3.5</v>
      </c>
      <c r="K7" s="66">
        <v>708</v>
      </c>
      <c r="L7" s="66">
        <f>(TVF[OR V]-TVF[FONTE])*TVF[[TITRE ]]/750</f>
        <v>43.896000000000001</v>
      </c>
      <c r="M7" s="66">
        <f>TVF[OR V]-TVF[NET 750]</f>
        <v>6.1039999999999992</v>
      </c>
    </row>
    <row r="8" spans="2:38" x14ac:dyDescent="0.25">
      <c r="B8" s="64" t="s">
        <v>189</v>
      </c>
      <c r="C8" s="64" t="s">
        <v>5</v>
      </c>
      <c r="D8" s="65">
        <v>43926.050798611112</v>
      </c>
      <c r="E8" s="66">
        <v>350</v>
      </c>
      <c r="F8" s="67">
        <v>360000</v>
      </c>
      <c r="G8" s="66"/>
      <c r="H8" s="67"/>
      <c r="I8" s="66">
        <v>250</v>
      </c>
      <c r="J8" s="66">
        <v>13.8</v>
      </c>
      <c r="K8" s="66">
        <v>765</v>
      </c>
      <c r="L8" s="66">
        <f>(TVF[OR V]-TVF[FONTE])*TVF[[TITRE ]]/750</f>
        <v>240.92400000000001</v>
      </c>
      <c r="M8" s="66">
        <f>TVF[OR V]-TVF[NET 750]</f>
        <v>9.0759999999999934</v>
      </c>
    </row>
    <row r="9" spans="2:38" x14ac:dyDescent="0.25">
      <c r="B9" s="59" t="s">
        <v>197</v>
      </c>
      <c r="C9" s="59" t="s">
        <v>67</v>
      </c>
      <c r="D9" s="60">
        <v>43932</v>
      </c>
      <c r="E9" s="61">
        <v>360</v>
      </c>
      <c r="F9" s="62">
        <v>600000</v>
      </c>
      <c r="G9" s="61">
        <v>100</v>
      </c>
      <c r="H9" s="62">
        <v>6000</v>
      </c>
      <c r="I9" s="61">
        <v>300</v>
      </c>
      <c r="J9" s="61">
        <v>14</v>
      </c>
      <c r="K9" s="61">
        <v>715</v>
      </c>
      <c r="L9" s="61">
        <f>(TVF[OR V]-TVF[FONTE])*TVF[[TITRE ]]/750</f>
        <v>272.65333333333331</v>
      </c>
      <c r="M9" s="61">
        <f>TVF[OR V]-TVF[NET 750]</f>
        <v>27.346666666666692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B1:AM10"/>
  <sheetViews>
    <sheetView workbookViewId="0">
      <selection activeCell="W2" sqref="W2"/>
    </sheetView>
  </sheetViews>
  <sheetFormatPr defaultColWidth="11.42578125" defaultRowHeight="15" x14ac:dyDescent="0.25"/>
  <cols>
    <col min="2" max="2" width="16.42578125" customWidth="1"/>
    <col min="3" max="3" width="19.5703125" customWidth="1"/>
    <col min="4" max="4" width="13.5703125" customWidth="1"/>
    <col min="5" max="5" width="16.85546875" customWidth="1"/>
    <col min="6" max="6" width="22" bestFit="1" customWidth="1"/>
    <col min="7" max="7" width="13.28515625" customWidth="1"/>
    <col min="8" max="8" width="18" customWidth="1"/>
  </cols>
  <sheetData>
    <row r="1" spans="2:39" x14ac:dyDescent="0.25">
      <c r="W1" t="s">
        <v>0</v>
      </c>
      <c r="AA1" t="s">
        <v>157</v>
      </c>
      <c r="AB1" t="s">
        <v>0</v>
      </c>
      <c r="AC1" t="s">
        <v>51</v>
      </c>
      <c r="AD1" t="s">
        <v>158</v>
      </c>
      <c r="AE1" t="s">
        <v>161</v>
      </c>
      <c r="AF1" t="s">
        <v>96</v>
      </c>
      <c r="AG1" t="s">
        <v>97</v>
      </c>
      <c r="AH1" t="s">
        <v>159</v>
      </c>
      <c r="AI1" t="s">
        <v>89</v>
      </c>
      <c r="AJ1" t="s">
        <v>160</v>
      </c>
      <c r="AK1" t="s">
        <v>90</v>
      </c>
      <c r="AL1" t="s">
        <v>91</v>
      </c>
      <c r="AM1" t="s">
        <v>194</v>
      </c>
    </row>
    <row r="2" spans="2:39" x14ac:dyDescent="0.25">
      <c r="W2" t="s">
        <v>154</v>
      </c>
      <c r="AA2" s="69" t="s">
        <v>178</v>
      </c>
      <c r="AB2" s="69" t="s">
        <v>154</v>
      </c>
      <c r="AC2" s="21">
        <v>43923.899155092593</v>
      </c>
      <c r="AD2" s="34">
        <v>150</v>
      </c>
      <c r="AE2" s="33">
        <v>150000</v>
      </c>
      <c r="AF2" s="34">
        <v>50</v>
      </c>
      <c r="AG2" s="33">
        <v>50000</v>
      </c>
      <c r="AH2" s="34">
        <v>100</v>
      </c>
      <c r="AI2" s="34">
        <v>11.3</v>
      </c>
      <c r="AJ2" s="34">
        <v>709</v>
      </c>
      <c r="AK2" s="34">
        <v>83.851066666666668</v>
      </c>
      <c r="AL2" s="34">
        <v>16.148933333333332</v>
      </c>
      <c r="AM2" s="72">
        <v>7</v>
      </c>
    </row>
    <row r="3" spans="2:39" x14ac:dyDescent="0.25">
      <c r="V3" t="e">
        <f ca="1">OFFSET($AA$2,0,0,COUNTA($AA$2:$AA$1048500),13)</f>
        <v>#VALUE!</v>
      </c>
      <c r="AA3" s="70"/>
      <c r="AB3" s="70"/>
      <c r="AC3" s="21"/>
      <c r="AD3" s="34"/>
      <c r="AE3" s="33"/>
      <c r="AF3" s="34"/>
      <c r="AG3" s="33"/>
      <c r="AH3" s="34"/>
      <c r="AI3" s="34"/>
      <c r="AJ3" s="34"/>
      <c r="AK3" s="34"/>
      <c r="AL3" s="34"/>
      <c r="AM3" s="72"/>
    </row>
    <row r="4" spans="2:39" x14ac:dyDescent="0.25">
      <c r="AA4" s="69"/>
      <c r="AB4" s="69"/>
      <c r="AC4" s="21"/>
      <c r="AD4" s="34"/>
      <c r="AE4" s="33"/>
      <c r="AF4" s="34"/>
      <c r="AG4" s="33"/>
      <c r="AH4" s="34"/>
      <c r="AI4" s="34"/>
      <c r="AJ4" s="34"/>
      <c r="AK4" s="34"/>
      <c r="AL4" s="34"/>
      <c r="AM4" s="72"/>
    </row>
    <row r="5" spans="2:39" x14ac:dyDescent="0.25">
      <c r="B5" t="s">
        <v>157</v>
      </c>
      <c r="C5" s="68" t="s">
        <v>0</v>
      </c>
      <c r="D5" t="s">
        <v>51</v>
      </c>
      <c r="E5" t="s">
        <v>158</v>
      </c>
      <c r="F5" t="s">
        <v>161</v>
      </c>
      <c r="G5" t="s">
        <v>96</v>
      </c>
      <c r="H5" t="s">
        <v>97</v>
      </c>
      <c r="I5" t="s">
        <v>159</v>
      </c>
      <c r="J5" t="s">
        <v>89</v>
      </c>
      <c r="K5" t="s">
        <v>160</v>
      </c>
      <c r="L5" t="s">
        <v>90</v>
      </c>
      <c r="M5" t="s">
        <v>91</v>
      </c>
      <c r="N5" t="s">
        <v>194</v>
      </c>
      <c r="AA5" s="70"/>
      <c r="AB5" s="70"/>
      <c r="AC5" s="21"/>
      <c r="AD5" s="34"/>
      <c r="AE5" s="33"/>
      <c r="AF5" s="34"/>
      <c r="AG5" s="33"/>
      <c r="AH5" s="34"/>
      <c r="AI5" s="34"/>
      <c r="AJ5" s="34"/>
      <c r="AK5" s="34"/>
      <c r="AL5" s="34"/>
      <c r="AM5" s="72"/>
    </row>
    <row r="6" spans="2:39" x14ac:dyDescent="0.25">
      <c r="B6" s="69" t="s">
        <v>177</v>
      </c>
      <c r="C6" s="69" t="s">
        <v>78</v>
      </c>
      <c r="D6" s="21">
        <v>43923.894803240742</v>
      </c>
      <c r="E6" s="34">
        <v>150</v>
      </c>
      <c r="F6" s="33">
        <v>150000</v>
      </c>
      <c r="G6" s="34"/>
      <c r="H6" s="33"/>
      <c r="I6" s="34">
        <v>100</v>
      </c>
      <c r="J6" s="34">
        <v>11.3</v>
      </c>
      <c r="K6" s="34">
        <v>709</v>
      </c>
      <c r="L6" s="34">
        <f>(TVC[OR V]-TVC[FONTE])*TVC[[TITRE ]]/750</f>
        <v>83.851066666666668</v>
      </c>
      <c r="M6" s="34">
        <f>TVC[OR V]-TVC[NET 750]</f>
        <v>16.148933333333332</v>
      </c>
      <c r="N6" s="72">
        <f>ROW()</f>
        <v>6</v>
      </c>
      <c r="AA6" s="71"/>
      <c r="AB6" s="71"/>
      <c r="AC6" s="21"/>
      <c r="AD6" s="34"/>
      <c r="AE6" s="33"/>
      <c r="AF6" s="34"/>
      <c r="AG6" s="33"/>
      <c r="AH6" s="34"/>
      <c r="AI6" s="34"/>
      <c r="AJ6" s="34"/>
      <c r="AK6" s="34"/>
      <c r="AL6" s="34"/>
      <c r="AM6" s="72"/>
    </row>
    <row r="7" spans="2:39" x14ac:dyDescent="0.25">
      <c r="B7" s="69" t="s">
        <v>178</v>
      </c>
      <c r="C7" s="69" t="s">
        <v>154</v>
      </c>
      <c r="D7" s="21">
        <v>43923.899155092593</v>
      </c>
      <c r="E7" s="34">
        <v>150</v>
      </c>
      <c r="F7" s="33">
        <v>150000</v>
      </c>
      <c r="G7" s="34">
        <v>50</v>
      </c>
      <c r="H7" s="33">
        <v>50000</v>
      </c>
      <c r="I7" s="34">
        <v>100</v>
      </c>
      <c r="J7" s="34">
        <v>11.3</v>
      </c>
      <c r="K7" s="34">
        <v>709</v>
      </c>
      <c r="L7" s="34">
        <f>(TVC[OR V]-TVC[FONTE])*TVC[[TITRE ]]/750</f>
        <v>83.851066666666668</v>
      </c>
      <c r="M7" s="34">
        <f>TVC[OR V]-TVC[NET 750]</f>
        <v>16.148933333333332</v>
      </c>
      <c r="N7" s="72">
        <f>ROW()</f>
        <v>7</v>
      </c>
    </row>
    <row r="8" spans="2:39" x14ac:dyDescent="0.25">
      <c r="B8" s="69" t="s">
        <v>179</v>
      </c>
      <c r="C8" s="69" t="s">
        <v>81</v>
      </c>
      <c r="D8" s="21">
        <v>43923.900520833333</v>
      </c>
      <c r="E8" s="34"/>
      <c r="F8" s="33"/>
      <c r="G8" s="34">
        <v>250</v>
      </c>
      <c r="H8" s="33">
        <v>100000</v>
      </c>
      <c r="I8" s="34"/>
      <c r="J8" s="34"/>
      <c r="K8" s="34"/>
      <c r="L8" s="34">
        <f>(TVC[OR V]-TVC[FONTE])*TVC[[TITRE ]]/750</f>
        <v>0</v>
      </c>
      <c r="M8" s="34">
        <f>TVC[OR V]-TVC[NET 750]</f>
        <v>0</v>
      </c>
      <c r="N8" s="72">
        <f>ROW()</f>
        <v>8</v>
      </c>
    </row>
    <row r="9" spans="2:39" x14ac:dyDescent="0.25">
      <c r="B9" s="70" t="s">
        <v>189</v>
      </c>
      <c r="C9" s="70" t="s">
        <v>78</v>
      </c>
      <c r="D9" s="21">
        <v>43926.048263888886</v>
      </c>
      <c r="E9" s="34">
        <v>350.8</v>
      </c>
      <c r="F9" s="33">
        <v>360000</v>
      </c>
      <c r="G9" s="34"/>
      <c r="H9" s="33"/>
      <c r="I9" s="34">
        <v>325</v>
      </c>
      <c r="J9" s="34">
        <v>13.5</v>
      </c>
      <c r="K9" s="34">
        <v>763</v>
      </c>
      <c r="L9" s="34">
        <f>(TVC[OR V]-TVC[FONTE])*TVC[[TITRE ]]/750</f>
        <v>316.89933333333335</v>
      </c>
      <c r="M9" s="34">
        <f>TVC[OR V]-TVC[NET 750]</f>
        <v>8.1006666666666547</v>
      </c>
      <c r="N9" s="72">
        <f>ROW()</f>
        <v>9</v>
      </c>
    </row>
    <row r="10" spans="2:39" x14ac:dyDescent="0.25">
      <c r="B10" s="71" t="s">
        <v>198</v>
      </c>
      <c r="C10" s="71" t="s">
        <v>8</v>
      </c>
      <c r="D10" s="21">
        <v>43932</v>
      </c>
      <c r="E10" s="34">
        <v>360</v>
      </c>
      <c r="F10" s="33">
        <v>150000</v>
      </c>
      <c r="G10" s="34">
        <v>0</v>
      </c>
      <c r="H10" s="33">
        <v>0</v>
      </c>
      <c r="I10" s="34">
        <v>100</v>
      </c>
      <c r="J10" s="34">
        <v>10</v>
      </c>
      <c r="K10" s="34">
        <v>736</v>
      </c>
      <c r="L10" s="34">
        <f>(TVC[OR V]-TVC[FONTE])*TVC[[TITRE ]]/750</f>
        <v>88.32</v>
      </c>
      <c r="M10" s="34">
        <f>TVC[OR V]-TVC[NET 750]</f>
        <v>11.680000000000007</v>
      </c>
      <c r="N10" s="72">
        <f>ROW()</f>
        <v>10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/>
  <dimension ref="A1:AI16"/>
  <sheetViews>
    <sheetView workbookViewId="0">
      <selection activeCell="F22" sqref="F22"/>
    </sheetView>
  </sheetViews>
  <sheetFormatPr defaultColWidth="11.42578125" defaultRowHeight="15" x14ac:dyDescent="0.25"/>
  <cols>
    <col min="1" max="1" width="12.85546875" bestFit="1" customWidth="1"/>
    <col min="2" max="2" width="14.140625" customWidth="1"/>
    <col min="3" max="3" width="18.42578125" bestFit="1" customWidth="1"/>
    <col min="5" max="5" width="24.5703125" customWidth="1"/>
    <col min="9" max="9" width="12.42578125" bestFit="1" customWidth="1"/>
    <col min="10" max="10" width="18.42578125" customWidth="1"/>
    <col min="11" max="11" width="22.28515625" customWidth="1"/>
    <col min="12" max="12" width="12.7109375" customWidth="1"/>
    <col min="17" max="17" width="11.140625" bestFit="1" customWidth="1"/>
    <col min="18" max="18" width="15.85546875" bestFit="1" customWidth="1"/>
    <col min="20" max="20" width="15.85546875" customWidth="1"/>
    <col min="27" max="27" width="13.140625" bestFit="1" customWidth="1"/>
    <col min="30" max="30" width="22.7109375" bestFit="1" customWidth="1"/>
  </cols>
  <sheetData>
    <row r="1" spans="1:35" x14ac:dyDescent="0.25">
      <c r="A1" s="24"/>
      <c r="B1" s="23"/>
      <c r="X1" s="9" t="s">
        <v>0</v>
      </c>
      <c r="Y1" s="9" t="s">
        <v>51</v>
      </c>
      <c r="AA1" s="9" t="s">
        <v>87</v>
      </c>
      <c r="AB1" s="9" t="s">
        <v>51</v>
      </c>
      <c r="AC1" s="9" t="s">
        <v>52</v>
      </c>
      <c r="AD1" s="9" t="s">
        <v>88</v>
      </c>
      <c r="AE1" s="9" t="s">
        <v>54</v>
      </c>
      <c r="AF1" s="9" t="s">
        <v>55</v>
      </c>
      <c r="AG1" s="9" t="s">
        <v>56</v>
      </c>
      <c r="AH1" s="9" t="s">
        <v>0</v>
      </c>
      <c r="AI1" s="9" t="s">
        <v>98</v>
      </c>
    </row>
    <row r="2" spans="1:35" x14ac:dyDescent="0.25">
      <c r="A2" s="74">
        <f>SUMIF(TVENTE[DATE],$Y$2,TVENTE[QTE])</f>
        <v>0</v>
      </c>
      <c r="B2" s="75">
        <f>SUMIF(TVENTE[DATE],$Y$2,TVENTE[TOTAL])</f>
        <v>0</v>
      </c>
      <c r="X2" s="9"/>
      <c r="Y2" s="22"/>
      <c r="AA2" s="2" t="s">
        <v>183</v>
      </c>
      <c r="AB2" s="20" t="s">
        <v>184</v>
      </c>
      <c r="AC2" s="2" t="s">
        <v>21</v>
      </c>
      <c r="AD2" s="2" t="s">
        <v>22</v>
      </c>
      <c r="AE2" s="35">
        <v>800</v>
      </c>
      <c r="AF2" s="18">
        <v>700</v>
      </c>
      <c r="AG2" s="11">
        <v>560000</v>
      </c>
      <c r="AH2" s="2" t="s">
        <v>78</v>
      </c>
      <c r="AI2" s="19">
        <v>6</v>
      </c>
    </row>
    <row r="3" spans="1:35" x14ac:dyDescent="0.25">
      <c r="AA3" s="2" t="s">
        <v>185</v>
      </c>
      <c r="AB3" s="20" t="s">
        <v>184</v>
      </c>
      <c r="AC3" s="2" t="s">
        <v>21</v>
      </c>
      <c r="AD3" s="2" t="s">
        <v>22</v>
      </c>
      <c r="AE3" s="35">
        <v>530</v>
      </c>
      <c r="AF3" s="18">
        <v>700</v>
      </c>
      <c r="AG3" s="11">
        <v>371000</v>
      </c>
      <c r="AH3" s="2" t="s">
        <v>81</v>
      </c>
      <c r="AI3" s="19">
        <v>7</v>
      </c>
    </row>
    <row r="4" spans="1:35" x14ac:dyDescent="0.25">
      <c r="AA4" s="2" t="s">
        <v>190</v>
      </c>
      <c r="AB4" s="20" t="s">
        <v>191</v>
      </c>
      <c r="AC4" s="2" t="s">
        <v>18</v>
      </c>
      <c r="AD4" s="2" t="s">
        <v>19</v>
      </c>
      <c r="AE4" s="35">
        <v>100</v>
      </c>
      <c r="AF4" s="18">
        <v>500</v>
      </c>
      <c r="AG4" s="11">
        <v>50000</v>
      </c>
      <c r="AH4" s="2" t="s">
        <v>154</v>
      </c>
      <c r="AI4" s="19">
        <v>8</v>
      </c>
    </row>
    <row r="5" spans="1:35" x14ac:dyDescent="0.25">
      <c r="B5" t="s">
        <v>87</v>
      </c>
      <c r="C5" s="21" t="s">
        <v>51</v>
      </c>
      <c r="D5" t="s">
        <v>52</v>
      </c>
      <c r="E5" t="s">
        <v>88</v>
      </c>
      <c r="F5" t="s">
        <v>54</v>
      </c>
      <c r="G5" t="s">
        <v>55</v>
      </c>
      <c r="H5" t="s">
        <v>56</v>
      </c>
      <c r="I5" t="s">
        <v>0</v>
      </c>
      <c r="J5" t="s">
        <v>98</v>
      </c>
      <c r="L5" s="2"/>
      <c r="M5" s="20"/>
      <c r="N5" s="2"/>
      <c r="O5" s="2"/>
      <c r="P5" s="2"/>
      <c r="Q5" s="18"/>
      <c r="R5" s="11"/>
      <c r="S5" s="2"/>
      <c r="T5" s="35"/>
      <c r="U5" s="11"/>
      <c r="V5" s="2"/>
      <c r="W5" s="2"/>
      <c r="X5" s="2"/>
      <c r="Y5" s="13"/>
      <c r="Z5" s="17"/>
      <c r="AA5" s="2" t="s">
        <v>192</v>
      </c>
      <c r="AB5" s="20" t="s">
        <v>191</v>
      </c>
      <c r="AC5" s="2" t="s">
        <v>31</v>
      </c>
      <c r="AD5" s="2" t="s">
        <v>32</v>
      </c>
      <c r="AE5" s="35">
        <v>150</v>
      </c>
      <c r="AF5" s="18">
        <v>1250</v>
      </c>
      <c r="AG5" s="11">
        <v>187500</v>
      </c>
      <c r="AH5" s="2" t="s">
        <v>8</v>
      </c>
      <c r="AI5" s="19">
        <v>9</v>
      </c>
    </row>
    <row r="6" spans="1:35" x14ac:dyDescent="0.25">
      <c r="B6" s="2" t="s">
        <v>183</v>
      </c>
      <c r="C6" s="20" t="s">
        <v>184</v>
      </c>
      <c r="D6" s="2" t="s">
        <v>21</v>
      </c>
      <c r="E6" s="2" t="s">
        <v>22</v>
      </c>
      <c r="F6" s="35">
        <v>800</v>
      </c>
      <c r="G6" s="18">
        <v>700</v>
      </c>
      <c r="H6" s="11">
        <f t="array" ref="H6">TVENTE[[#This Row],[PU]]*TVENTE[[#This Row],[QTE]]</f>
        <v>560000</v>
      </c>
      <c r="I6" s="2" t="s">
        <v>78</v>
      </c>
      <c r="J6" s="19">
        <f>ROW()</f>
        <v>6</v>
      </c>
      <c r="L6" s="2"/>
      <c r="M6" s="20"/>
      <c r="N6" s="63"/>
      <c r="O6" s="2"/>
      <c r="P6" s="2"/>
      <c r="Q6" s="18"/>
      <c r="R6" s="11"/>
      <c r="S6" s="2"/>
      <c r="T6" s="35"/>
      <c r="U6" s="11"/>
      <c r="V6" s="2"/>
      <c r="W6" s="2"/>
      <c r="X6" s="2"/>
      <c r="Y6" s="13"/>
      <c r="Z6" s="17"/>
      <c r="AA6" s="2" t="s">
        <v>193</v>
      </c>
      <c r="AB6" s="20" t="s">
        <v>191</v>
      </c>
      <c r="AC6" s="2" t="s">
        <v>29</v>
      </c>
      <c r="AD6" s="2" t="s">
        <v>30</v>
      </c>
      <c r="AE6" s="35">
        <v>16</v>
      </c>
      <c r="AF6" s="18">
        <v>1000</v>
      </c>
      <c r="AG6" s="11">
        <v>16000</v>
      </c>
      <c r="AH6" s="2" t="s">
        <v>8</v>
      </c>
      <c r="AI6" s="19">
        <v>10</v>
      </c>
    </row>
    <row r="7" spans="1:35" x14ac:dyDescent="0.25">
      <c r="B7" s="2" t="s">
        <v>185</v>
      </c>
      <c r="C7" s="20" t="s">
        <v>184</v>
      </c>
      <c r="D7" s="2" t="s">
        <v>21</v>
      </c>
      <c r="E7" s="2" t="s">
        <v>22</v>
      </c>
      <c r="F7" s="35">
        <v>530</v>
      </c>
      <c r="G7" s="18">
        <v>700</v>
      </c>
      <c r="H7" s="11">
        <f t="array" ref="H7">TVENTE[[#This Row],[PU]]*TVENTE[[#This Row],[QTE]]</f>
        <v>371000</v>
      </c>
      <c r="I7" s="2" t="s">
        <v>81</v>
      </c>
      <c r="J7" s="19">
        <f>ROW()</f>
        <v>7</v>
      </c>
      <c r="P7" s="2"/>
      <c r="Q7" s="20"/>
      <c r="R7" s="2"/>
      <c r="S7" s="2"/>
      <c r="T7" s="2"/>
      <c r="U7" s="18"/>
      <c r="V7" s="11"/>
      <c r="W7" s="2"/>
      <c r="X7" s="35"/>
      <c r="Y7" s="11"/>
      <c r="Z7" s="2"/>
      <c r="AA7" s="2"/>
      <c r="AB7" s="2"/>
      <c r="AC7" s="13"/>
      <c r="AD7" s="17"/>
      <c r="AE7" s="17"/>
      <c r="AF7" s="11"/>
      <c r="AG7" s="17"/>
      <c r="AH7" s="11"/>
    </row>
    <row r="8" spans="1:35" x14ac:dyDescent="0.25">
      <c r="B8" s="2" t="s">
        <v>190</v>
      </c>
      <c r="C8" s="20" t="s">
        <v>191</v>
      </c>
      <c r="D8" s="2" t="s">
        <v>18</v>
      </c>
      <c r="E8" s="2" t="s">
        <v>19</v>
      </c>
      <c r="F8" s="35">
        <v>100</v>
      </c>
      <c r="G8" s="18">
        <v>500</v>
      </c>
      <c r="H8" s="11">
        <f t="array" ref="H8">TVENTE[[#This Row],[PU]]*TVENTE[[#This Row],[QTE]]</f>
        <v>50000</v>
      </c>
      <c r="I8" s="2" t="s">
        <v>154</v>
      </c>
      <c r="J8" s="19">
        <f>ROW()</f>
        <v>8</v>
      </c>
      <c r="P8" s="2"/>
      <c r="Q8" s="20"/>
      <c r="R8" s="2"/>
      <c r="S8" s="2"/>
      <c r="T8" s="2"/>
      <c r="U8" s="18"/>
      <c r="V8" s="11"/>
      <c r="W8" s="2"/>
      <c r="X8" s="35"/>
      <c r="Y8" s="11"/>
      <c r="Z8" s="2"/>
      <c r="AA8" s="2"/>
      <c r="AB8" s="2"/>
      <c r="AC8" s="13"/>
      <c r="AD8" s="17"/>
      <c r="AE8" s="17"/>
      <c r="AF8" s="11"/>
      <c r="AG8" s="17"/>
      <c r="AH8" s="11"/>
    </row>
    <row r="9" spans="1:35" x14ac:dyDescent="0.25">
      <c r="B9" s="2" t="s">
        <v>192</v>
      </c>
      <c r="C9" s="20" t="s">
        <v>191</v>
      </c>
      <c r="D9" s="2" t="s">
        <v>31</v>
      </c>
      <c r="E9" s="2" t="s">
        <v>32</v>
      </c>
      <c r="F9" s="35">
        <v>150</v>
      </c>
      <c r="G9" s="18">
        <v>1250</v>
      </c>
      <c r="H9" s="11">
        <f t="array" ref="H9">TVENTE[[#This Row],[PU]]*TVENTE[[#This Row],[QTE]]</f>
        <v>187500</v>
      </c>
      <c r="I9" s="2" t="s">
        <v>8</v>
      </c>
      <c r="J9" s="19">
        <f>ROW()</f>
        <v>9</v>
      </c>
      <c r="P9" s="2"/>
      <c r="Q9" s="20"/>
      <c r="R9" s="2"/>
      <c r="S9" s="2"/>
      <c r="T9" s="2"/>
      <c r="U9" s="18"/>
      <c r="V9" s="11"/>
      <c r="W9" s="2"/>
      <c r="X9" s="2"/>
      <c r="Y9" s="11"/>
      <c r="Z9" s="2"/>
      <c r="AA9" s="2"/>
      <c r="AB9" s="2"/>
      <c r="AC9" s="13"/>
      <c r="AD9" s="17"/>
      <c r="AE9" s="17"/>
      <c r="AF9" s="11"/>
      <c r="AG9" s="17"/>
      <c r="AH9" s="11"/>
    </row>
    <row r="10" spans="1:35" x14ac:dyDescent="0.25">
      <c r="B10" s="2" t="s">
        <v>193</v>
      </c>
      <c r="C10" s="20" t="s">
        <v>191</v>
      </c>
      <c r="D10" s="2" t="s">
        <v>29</v>
      </c>
      <c r="E10" s="2" t="s">
        <v>30</v>
      </c>
      <c r="F10" s="35">
        <v>16</v>
      </c>
      <c r="G10" s="18">
        <v>1000</v>
      </c>
      <c r="H10" s="11">
        <f t="array" ref="H10">TVENTE[[#This Row],[PU]]*TVENTE[[#This Row],[QTE]]</f>
        <v>16000</v>
      </c>
      <c r="I10" s="2" t="s">
        <v>8</v>
      </c>
      <c r="J10" s="19">
        <f>ROW()</f>
        <v>10</v>
      </c>
      <c r="P10" s="2"/>
      <c r="Q10" s="20"/>
      <c r="R10" s="2"/>
      <c r="S10" s="2"/>
      <c r="T10" s="2"/>
      <c r="U10" s="18"/>
      <c r="V10" s="11"/>
      <c r="W10" s="2"/>
      <c r="X10" s="2"/>
      <c r="Y10" s="11"/>
      <c r="Z10" s="2"/>
      <c r="AA10" s="2"/>
      <c r="AB10" s="2"/>
      <c r="AC10" s="13"/>
      <c r="AD10" s="17"/>
      <c r="AE10" s="17"/>
      <c r="AF10" s="11"/>
      <c r="AG10" s="17"/>
      <c r="AH10" s="11"/>
    </row>
    <row r="11" spans="1:35" x14ac:dyDescent="0.25">
      <c r="P11" s="2"/>
      <c r="Q11" s="20"/>
      <c r="R11" s="2"/>
      <c r="S11" s="2"/>
      <c r="T11" s="2"/>
      <c r="U11" s="18"/>
      <c r="V11" s="11"/>
      <c r="W11" s="2"/>
      <c r="X11" s="2"/>
      <c r="Y11" s="11"/>
      <c r="Z11" s="2"/>
      <c r="AA11" s="2"/>
      <c r="AB11" s="2"/>
      <c r="AC11" s="13"/>
      <c r="AD11" s="17"/>
      <c r="AE11" s="17"/>
      <c r="AF11" s="11"/>
      <c r="AG11" s="17"/>
      <c r="AH11" s="11"/>
    </row>
    <row r="12" spans="1:35" x14ac:dyDescent="0.25">
      <c r="P12" s="2"/>
      <c r="Q12" s="20"/>
      <c r="R12" s="2"/>
      <c r="S12" s="2"/>
      <c r="T12" s="2"/>
      <c r="U12" s="18"/>
      <c r="V12" s="11"/>
      <c r="W12" s="2"/>
      <c r="X12" s="2"/>
      <c r="Y12" s="11"/>
      <c r="Z12" s="2"/>
      <c r="AA12" s="2"/>
      <c r="AB12" s="2"/>
      <c r="AC12" s="13"/>
      <c r="AD12" s="17"/>
      <c r="AE12" s="17"/>
      <c r="AF12" s="11"/>
      <c r="AG12" s="17"/>
      <c r="AH12" s="11"/>
    </row>
    <row r="13" spans="1:35" x14ac:dyDescent="0.25">
      <c r="P13" s="2"/>
      <c r="Q13" s="20"/>
      <c r="R13" s="2"/>
      <c r="S13" s="2"/>
      <c r="T13" s="2"/>
      <c r="U13" s="18"/>
      <c r="V13" s="11"/>
      <c r="W13" s="2"/>
      <c r="X13" s="2"/>
      <c r="Y13" s="11"/>
      <c r="Z13" s="2"/>
      <c r="AA13" s="2"/>
      <c r="AB13" s="2"/>
      <c r="AC13" s="13"/>
      <c r="AD13" s="17"/>
      <c r="AE13" s="17"/>
      <c r="AF13" s="11"/>
      <c r="AG13" s="17"/>
      <c r="AH13" s="11"/>
    </row>
    <row r="14" spans="1:35" x14ac:dyDescent="0.25">
      <c r="P14" s="2"/>
      <c r="Q14" s="20"/>
      <c r="R14" s="2"/>
      <c r="S14" s="2"/>
      <c r="T14" s="2"/>
      <c r="U14" s="18"/>
      <c r="V14" s="11"/>
      <c r="W14" s="2"/>
      <c r="X14" s="2"/>
      <c r="Y14" s="11"/>
      <c r="Z14" s="2"/>
      <c r="AA14" s="2"/>
      <c r="AB14" s="2"/>
      <c r="AC14" s="13"/>
      <c r="AD14" s="17"/>
      <c r="AE14" s="17"/>
      <c r="AF14" s="11"/>
      <c r="AG14" s="17"/>
      <c r="AH14" s="11"/>
    </row>
    <row r="15" spans="1:35" x14ac:dyDescent="0.25">
      <c r="P15" s="2"/>
      <c r="Q15" s="20"/>
      <c r="R15" s="2"/>
      <c r="S15" s="2"/>
      <c r="T15" s="2"/>
      <c r="U15" s="18"/>
      <c r="V15" s="11"/>
      <c r="W15" s="2"/>
      <c r="X15" s="2"/>
      <c r="Y15" s="11"/>
      <c r="Z15" s="2"/>
      <c r="AA15" s="2"/>
      <c r="AB15" s="2"/>
      <c r="AC15" s="13"/>
      <c r="AD15" s="17"/>
      <c r="AE15" s="17"/>
      <c r="AF15" s="11"/>
      <c r="AG15" s="17"/>
      <c r="AH15" s="11"/>
    </row>
    <row r="16" spans="1:35" x14ac:dyDescent="0.25">
      <c r="P16" s="2"/>
      <c r="Q16" s="20"/>
      <c r="R16" s="2"/>
      <c r="S16" s="2"/>
      <c r="T16" s="2"/>
      <c r="U16" s="18"/>
      <c r="V16" s="11"/>
      <c r="W16" s="2"/>
      <c r="X16" s="2"/>
      <c r="Y16" s="11"/>
      <c r="Z16" s="2"/>
      <c r="AA16" s="2"/>
      <c r="AB16" s="2"/>
      <c r="AC16" s="13"/>
      <c r="AD16" s="17"/>
      <c r="AE16" s="17"/>
      <c r="AF16" s="11"/>
      <c r="AG16" s="17"/>
      <c r="AH16" s="1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pageSetUpPr fitToPage="1"/>
  </sheetPr>
  <dimension ref="A1:H29"/>
  <sheetViews>
    <sheetView topLeftCell="A23" workbookViewId="0">
      <selection activeCell="G7" sqref="G7"/>
    </sheetView>
  </sheetViews>
  <sheetFormatPr defaultColWidth="11.42578125" defaultRowHeight="15" x14ac:dyDescent="0.25"/>
  <cols>
    <col min="1" max="2" width="11.42578125" style="89"/>
    <col min="3" max="3" width="16.140625" style="89" bestFit="1" customWidth="1"/>
    <col min="4" max="4" width="25" style="89" bestFit="1" customWidth="1"/>
    <col min="5" max="5" width="11.42578125" style="89"/>
    <col min="6" max="6" width="15.28515625" style="89" bestFit="1" customWidth="1"/>
    <col min="7" max="7" width="17.28515625" style="89" bestFit="1" customWidth="1"/>
    <col min="8" max="16384" width="11.42578125" style="89"/>
  </cols>
  <sheetData>
    <row r="1" spans="1:8" x14ac:dyDescent="0.25">
      <c r="B1" s="153" t="s">
        <v>66</v>
      </c>
      <c r="C1" s="154"/>
      <c r="D1" s="154"/>
      <c r="E1" s="154"/>
      <c r="F1" s="155"/>
      <c r="G1" s="90"/>
    </row>
    <row r="2" spans="1:8" x14ac:dyDescent="0.25">
      <c r="A2" s="91"/>
      <c r="B2" s="153"/>
      <c r="C2" s="154"/>
      <c r="D2" s="154"/>
      <c r="E2" s="154"/>
      <c r="F2" s="155"/>
      <c r="G2" s="90"/>
    </row>
    <row r="3" spans="1:8" x14ac:dyDescent="0.25">
      <c r="B3" s="153"/>
      <c r="C3" s="154"/>
      <c r="D3" s="154"/>
      <c r="E3" s="154"/>
      <c r="F3" s="155"/>
      <c r="G3" s="90"/>
    </row>
    <row r="4" spans="1:8" ht="15.75" thickBot="1" x14ac:dyDescent="0.3">
      <c r="B4" s="156"/>
      <c r="C4" s="157"/>
      <c r="D4" s="157"/>
      <c r="E4" s="157"/>
      <c r="F4" s="158"/>
      <c r="G4" s="90"/>
    </row>
    <row r="5" spans="1:8" ht="15.75" thickBot="1" x14ac:dyDescent="0.3"/>
    <row r="6" spans="1:8" ht="22.5" thickTop="1" thickBot="1" x14ac:dyDescent="0.55000000000000004">
      <c r="F6" s="92" t="s">
        <v>57</v>
      </c>
      <c r="G6" s="93" t="str">
        <f>IFERROR(VLOOKUP(G7,TVENTE[],2,0),"")</f>
        <v>05/04/2020</v>
      </c>
      <c r="H6" s="90"/>
    </row>
    <row r="7" spans="1:8" ht="22.5" thickTop="1" thickBot="1" x14ac:dyDescent="0.55000000000000004">
      <c r="C7" s="94"/>
      <c r="D7" s="94"/>
      <c r="F7" s="95" t="s">
        <v>92</v>
      </c>
      <c r="G7" s="96" t="s">
        <v>193</v>
      </c>
      <c r="H7" s="90"/>
    </row>
    <row r="8" spans="1:8" ht="22.5" thickTop="1" thickBot="1" x14ac:dyDescent="0.55000000000000004">
      <c r="C8" s="92" t="s">
        <v>65</v>
      </c>
      <c r="D8" s="97" t="str">
        <f>IFERROR(VLOOKUP($G$7,TVENTE[],8,0),"")</f>
        <v>FAYCEL 34</v>
      </c>
    </row>
    <row r="9" spans="1:8" ht="22.5" thickTop="1" thickBot="1" x14ac:dyDescent="0.55000000000000004">
      <c r="C9" s="98"/>
      <c r="D9" s="96" t="str">
        <f>IFERROR(VLOOKUP($D$8,TCLIENT[],2,0),"")</f>
        <v>BBA</v>
      </c>
      <c r="E9" s="90"/>
    </row>
    <row r="10" spans="1:8" ht="22.5" thickTop="1" thickBot="1" x14ac:dyDescent="0.55000000000000004">
      <c r="C10" s="98"/>
      <c r="D10" s="96" t="str">
        <f>IFERROR(VLOOKUP($D$8,TCLIENT[],3,0),"")</f>
        <v>BBA</v>
      </c>
    </row>
    <row r="11" spans="1:8" ht="22.5" thickTop="1" thickBot="1" x14ac:dyDescent="0.55000000000000004">
      <c r="C11" s="95"/>
      <c r="D11" s="96" t="str">
        <f>IFERROR(VLOOKUP($D$8,TCLIENT[],4,0),"")</f>
        <v>0661252532</v>
      </c>
      <c r="E11" s="99"/>
    </row>
    <row r="12" spans="1:8" ht="15.75" thickTop="1" x14ac:dyDescent="0.25">
      <c r="B12" s="100" t="s">
        <v>46</v>
      </c>
      <c r="C12" s="101" t="s">
        <v>59</v>
      </c>
      <c r="D12" s="102" t="s">
        <v>60</v>
      </c>
      <c r="E12" s="100" t="s">
        <v>54</v>
      </c>
      <c r="F12" s="113" t="s">
        <v>61</v>
      </c>
      <c r="G12" s="100" t="s">
        <v>56</v>
      </c>
    </row>
    <row r="13" spans="1:8" x14ac:dyDescent="0.25">
      <c r="B13" s="103">
        <f>IF(C13&lt;&gt;"",ROW()-12,"")</f>
        <v>1</v>
      </c>
      <c r="C13" s="91" t="str">
        <f t="array" ref="C13">IFERROR(INDEX(TVENTE[N° ART],SMALL(IF(TVENTE[N° DE VENTE]=$G$7,ROW(TVENTE[N° ART])-5),ROW()-12)),"")</f>
        <v>LN</v>
      </c>
      <c r="D13" s="114" t="str">
        <f t="array" ref="D13">IFERROR(INDEX(TVENTE[DESIGNATION D''ARTICLE],SMALL(IF(TVENTE[N° DE VENTE]=$G$7,ROW(TVENTE[DESIGNATION D''ARTICLE])-5),ROW()-12)),"")</f>
        <v>LES NOMS</v>
      </c>
      <c r="E13" s="115">
        <f t="array" ref="E13">IFERROR(INDEX(TVENTE[QTE],SMALL(IF(TVENTE[N° DE VENTE]=$G$7,ROW(TVENTE[QTE])-5),ROW()-12)),"")</f>
        <v>16</v>
      </c>
      <c r="F13" s="91">
        <f t="array" ref="F13">IFERROR(INDEX(TVENTE[PU],SMALL(IF(TVENTE[N° DE VENTE]=$G$7,ROW(TVENTE[PU])-5),ROW()-12)),"")</f>
        <v>1000</v>
      </c>
      <c r="G13" s="116">
        <f>IFERROR(E13*F13,"")</f>
        <v>16000</v>
      </c>
    </row>
    <row r="14" spans="1:8" x14ac:dyDescent="0.25">
      <c r="B14" s="91" t="str">
        <f t="shared" ref="B14:B18" si="0">IF(C14&lt;&gt;"",ROW()-12,"")</f>
        <v/>
      </c>
      <c r="C14" s="91" t="str">
        <f t="array" ref="C14">IFERROR(INDEX(TVENTE[N° ART],SMALL(IF(TVENTE[N° DE VENTE]=$G$7,ROW(TVENTE[N° ART])-5),ROW()-12)),"")</f>
        <v/>
      </c>
      <c r="D14" s="91" t="str">
        <f t="array" ref="D14">IFERROR(INDEX(TVENTE[DESIGNATION D''ARTICLE],SMALL(IF(TVENTE[N° DE VENTE]=$G$7,ROW(TVENTE[DESIGNATION D''ARTICLE])-5),ROW()-12)),"")</f>
        <v/>
      </c>
      <c r="E14" s="91" t="str">
        <f t="array" ref="E14">IFERROR(INDEX(TVENTE[QTE],SMALL(IF(TVENTE[N° DE VENTE]=$G$7,ROW(TVENTE[QTE])-5),ROW()-12)),"")</f>
        <v/>
      </c>
      <c r="F14" s="91" t="str">
        <f t="array" ref="F14">IFERROR(INDEX(TVENTE[PU],SMALL(IF(TVENTE[N° DE VENTE]=$G$7,ROW(TVENTE[PU])-5),ROW()-12)),"")</f>
        <v/>
      </c>
      <c r="G14" s="106" t="str">
        <f t="shared" ref="G14:G25" si="1">IFERROR(E14*F14,"")</f>
        <v/>
      </c>
    </row>
    <row r="15" spans="1:8" x14ac:dyDescent="0.25">
      <c r="B15" s="91" t="str">
        <f t="shared" si="0"/>
        <v/>
      </c>
      <c r="C15" s="91" t="str">
        <f t="array" ref="C15">IFERROR(INDEX(TVENTE[N° ART],SMALL(IF(TVENTE[N° DE VENTE]=$G$7,ROW(TVENTE[N° ART])-5),ROW()-12)),"")</f>
        <v/>
      </c>
      <c r="D15" s="91" t="str">
        <f t="array" ref="D15">IFERROR(INDEX(TVENTE[DESIGNATION D''ARTICLE],SMALL(IF(TVENTE[N° DE VENTE]=$G$7,ROW(TVENTE[DESIGNATION D''ARTICLE])-5),ROW()-12)),"")</f>
        <v/>
      </c>
      <c r="E15" s="91" t="str">
        <f t="array" ref="E15">IFERROR(INDEX(TVENTE[QTE],SMALL(IF(TVENTE[N° DE VENTE]=$G$7,ROW(TVENTE[QTE])-5),ROW()-12)),"")</f>
        <v/>
      </c>
      <c r="F15" s="91" t="str">
        <f t="array" ref="F15">IFERROR(INDEX(TVENTE[PU],SMALL(IF(TVENTE[N° DE VENTE]=$G$7,ROW(TVENTE[PU])-5),ROW()-12)),"")</f>
        <v/>
      </c>
      <c r="G15" s="106" t="str">
        <f t="shared" si="1"/>
        <v/>
      </c>
    </row>
    <row r="16" spans="1:8" x14ac:dyDescent="0.25">
      <c r="B16" s="91" t="str">
        <f t="shared" si="0"/>
        <v/>
      </c>
      <c r="C16" s="91" t="str">
        <f t="array" ref="C16">IFERROR(INDEX(TVENTE[N° ART],SMALL(IF(TVENTE[N° DE VENTE]=$G$7,ROW(TVENTE[N° ART])-5),ROW()-12)),"")</f>
        <v/>
      </c>
      <c r="D16" s="91" t="str">
        <f t="array" ref="D16">IFERROR(INDEX(TVENTE[DESIGNATION D''ARTICLE],SMALL(IF(TVENTE[N° DE VENTE]=$G$7,ROW(TVENTE[DESIGNATION D''ARTICLE])-5),ROW()-12)),"")</f>
        <v/>
      </c>
      <c r="E16" s="91" t="str">
        <f t="array" ref="E16">IFERROR(INDEX(TVENTE[QTE],SMALL(IF(TVENTE[N° DE VENTE]=$G$7,ROW(TVENTE[QTE])-5),ROW()-12)),"")</f>
        <v/>
      </c>
      <c r="F16" s="91" t="str">
        <f t="array" ref="F16">IFERROR(INDEX(TVENTE[PU],SMALL(IF(TVENTE[N° DE VENTE]=$G$7,ROW(TVENTE[PU])-5),ROW()-12)),"")</f>
        <v/>
      </c>
      <c r="G16" s="106" t="str">
        <f t="shared" si="1"/>
        <v/>
      </c>
    </row>
    <row r="17" spans="2:7" x14ac:dyDescent="0.25">
      <c r="B17" s="91" t="str">
        <f t="shared" si="0"/>
        <v/>
      </c>
      <c r="C17" s="91" t="str">
        <f t="array" ref="C17">IFERROR(INDEX(TVENTE[N° ART],SMALL(IF(TVENTE[N° DE VENTE]=$G$7,ROW(TVENTE[N° ART])-5),ROW()-12)),"")</f>
        <v/>
      </c>
      <c r="D17" s="91" t="str">
        <f t="array" ref="D17">IFERROR(INDEX(TVENTE[DESIGNATION D''ARTICLE],SMALL(IF(TVENTE[N° DE VENTE]=$G$7,ROW(TVENTE[DESIGNATION D''ARTICLE])-5),ROW()-12)),"")</f>
        <v/>
      </c>
      <c r="E17" s="91" t="str">
        <f t="array" ref="E17">IFERROR(INDEX(TVENTE[QTE],SMALL(IF(TVENTE[N° DE VENTE]=$G$7,ROW(TVENTE[QTE])-5),ROW()-12)),"")</f>
        <v/>
      </c>
      <c r="F17" s="91" t="str">
        <f t="array" ref="F17">IFERROR(INDEX(TVENTE[PU],SMALL(IF(TVENTE[N° DE VENTE]=$G$7,ROW(TVENTE[PU])-5),ROW()-12)),"")</f>
        <v/>
      </c>
      <c r="G17" s="106" t="str">
        <f t="shared" si="1"/>
        <v/>
      </c>
    </row>
    <row r="18" spans="2:7" x14ac:dyDescent="0.25">
      <c r="B18" s="91" t="str">
        <f t="shared" si="0"/>
        <v/>
      </c>
      <c r="C18" s="91" t="str">
        <f t="array" ref="C18">IFERROR(INDEX(TVENTE[N° ART],SMALL(IF(TVENTE[N° DE VENTE]=$G$7,ROW(TVENTE[N° ART])-5),ROW()-12)),"")</f>
        <v/>
      </c>
      <c r="D18" s="91" t="str">
        <f t="array" ref="D18">IFERROR(INDEX(TVENTE[DESIGNATION D''ARTICLE],SMALL(IF(TVENTE[N° DE VENTE]=$G$7,ROW(TVENTE[DESIGNATION D''ARTICLE])-5),ROW()-12)),"")</f>
        <v/>
      </c>
      <c r="E18" s="91" t="str">
        <f t="array" ref="E18">IFERROR(INDEX(TVENTE[QTE],SMALL(IF(TVENTE[N° DE VENTE]=$G$7,ROW(TVENTE[QTE])-5),ROW()-12)),"")</f>
        <v/>
      </c>
      <c r="F18" s="91" t="str">
        <f t="array" ref="F18">IFERROR(INDEX(TVENTE[PU],SMALL(IF(TVENTE[N° DE VENTE]=$G$7,ROW(TVENTE[PU])-5),ROW()-12)),"")</f>
        <v/>
      </c>
      <c r="G18" s="106" t="str">
        <f t="shared" si="1"/>
        <v/>
      </c>
    </row>
    <row r="19" spans="2:7" x14ac:dyDescent="0.25">
      <c r="B19" s="91"/>
      <c r="C19" s="91" t="str">
        <f t="array" ref="C19">IFERROR(INDEX(TVENTE[N° ART],SMALL(IF(TVENTE[N° DE VENTE]=$G$7,ROW(TVENTE[N° ART])-5),ROW()-12)),"")</f>
        <v/>
      </c>
      <c r="D19" s="91" t="str">
        <f t="array" ref="D19">IFERROR(INDEX(TVENTE[DESIGNATION D''ARTICLE],SMALL(IF(TVENTE[N° DE VENTE]=$G$7,ROW(TVENTE[DESIGNATION D''ARTICLE])-5),ROW()-12)),"")</f>
        <v/>
      </c>
      <c r="E19" s="91" t="str">
        <f t="array" ref="E19">IFERROR(INDEX(TVENTE[QTE],SMALL(IF(TVENTE[N° DE VENTE]=$G$7,ROW(TVENTE[QTE])-5),ROW()-12)),"")</f>
        <v/>
      </c>
      <c r="F19" s="91" t="str">
        <f t="array" ref="F19">IFERROR(INDEX(TVENTE[PU],SMALL(IF(TVENTE[N° DE VENTE]=$G$7,ROW(TVENTE[PU])-5),ROW()-12)),"")</f>
        <v/>
      </c>
      <c r="G19" s="106" t="str">
        <f t="shared" si="1"/>
        <v/>
      </c>
    </row>
    <row r="20" spans="2:7" x14ac:dyDescent="0.25">
      <c r="B20" s="91" t="str">
        <f t="shared" ref="B20:B25" si="2">IF(C20&lt;&gt;"",ROW()-12,"")</f>
        <v/>
      </c>
      <c r="C20" s="91" t="str">
        <f t="array" ref="C20">IFERROR(INDEX(TVENTE[N° ART],SMALL(IF(TVENTE[N° DE VENTE]=$G$7,ROW(TVENTE[N° ART])-5),ROW()-12)),"")</f>
        <v/>
      </c>
      <c r="D20" s="91" t="str">
        <f t="array" ref="D20">IFERROR(INDEX(TVENTE[DESIGNATION D''ARTICLE],SMALL(IF(TVENTE[N° DE VENTE]=$G$7,ROW(TVENTE[DESIGNATION D''ARTICLE])-5),ROW()-12)),"")</f>
        <v/>
      </c>
      <c r="E20" s="91" t="str">
        <f t="array" ref="E20">IFERROR(INDEX(TVENTE[QTE],SMALL(IF(TVENTE[N° DE VENTE]=$G$7,ROW(TVENTE[QTE])-5),ROW()-12)),"")</f>
        <v/>
      </c>
      <c r="F20" s="91" t="str">
        <f t="array" ref="F20">IFERROR(INDEX(TVENTE[PU],SMALL(IF(TVENTE[N° DE VENTE]=$G$7,ROW(TVENTE[PU])-5),ROW()-12)),"")</f>
        <v/>
      </c>
      <c r="G20" s="106" t="str">
        <f t="shared" si="1"/>
        <v/>
      </c>
    </row>
    <row r="21" spans="2:7" x14ac:dyDescent="0.25">
      <c r="B21" s="91" t="str">
        <f t="shared" si="2"/>
        <v/>
      </c>
      <c r="C21" s="91" t="str">
        <f t="array" ref="C21">IFERROR(INDEX(TVENTE[N° ART],SMALL(IF(TVENTE[N° DE VENTE]=$G$7,ROW(TVENTE[N° ART])-5),ROW()-12)),"")</f>
        <v/>
      </c>
      <c r="D21" s="91" t="str">
        <f t="array" ref="D21">IFERROR(INDEX(TVENTE[DESIGNATION D''ARTICLE],SMALL(IF(TVENTE[N° DE VENTE]=$G$7,ROW(TVENTE[DESIGNATION D''ARTICLE])-5),ROW()-12)),"")</f>
        <v/>
      </c>
      <c r="E21" s="91" t="str">
        <f t="array" ref="E21">IFERROR(INDEX(TVENTE[QTE],SMALL(IF(TVENTE[N° DE VENTE]=$G$7,ROW(TVENTE[QTE])-5),ROW()-12)),"")</f>
        <v/>
      </c>
      <c r="F21" s="91" t="str">
        <f t="array" ref="F21">IFERROR(INDEX(TVENTE[PU],SMALL(IF(TVENTE[N° DE VENTE]=$G$7,ROW(TVENTE[PU])-5),ROW()-12)),"")</f>
        <v/>
      </c>
      <c r="G21" s="106" t="str">
        <f t="shared" si="1"/>
        <v/>
      </c>
    </row>
    <row r="22" spans="2:7" x14ac:dyDescent="0.25">
      <c r="B22" s="91" t="str">
        <f t="shared" si="2"/>
        <v/>
      </c>
      <c r="C22" s="91" t="str">
        <f t="array" ref="C22">IFERROR(INDEX(TVENTE[N° ART],SMALL(IF(TVENTE[N° DE VENTE]=$G$7,ROW(TVENTE[N° ART])-5),ROW()-12)),"")</f>
        <v/>
      </c>
      <c r="D22" s="91" t="str">
        <f t="array" ref="D22">IFERROR(INDEX(TVENTE[DESIGNATION D''ARTICLE],SMALL(IF(TVENTE[N° DE VENTE]=$G$7,ROW(TVENTE[DESIGNATION D''ARTICLE])-5),ROW()-12)),"")</f>
        <v/>
      </c>
      <c r="E22" s="91" t="str">
        <f t="array" ref="E22">IFERROR(INDEX(TVENTE[QTE],SMALL(IF(TVENTE[N° DE VENTE]=$G$7,ROW(TVENTE[QTE])-5),ROW()-12)),"")</f>
        <v/>
      </c>
      <c r="F22" s="91" t="str">
        <f t="array" ref="F22">IFERROR(INDEX(TVENTE[PU],SMALL(IF(TVENTE[N° DE VENTE]=$G$7,ROW(TVENTE[PU])-5),ROW()-12)),"")</f>
        <v/>
      </c>
      <c r="G22" s="106" t="str">
        <f t="shared" si="1"/>
        <v/>
      </c>
    </row>
    <row r="23" spans="2:7" x14ac:dyDescent="0.25">
      <c r="B23" s="91" t="str">
        <f t="shared" si="2"/>
        <v/>
      </c>
      <c r="C23" s="91" t="str">
        <f t="array" ref="C23">IFERROR(INDEX(TVENTE[N° ART],SMALL(IF(TVENTE[N° DE VENTE]=$G$7,ROW(TVENTE[N° ART])-5),ROW()-12)),"")</f>
        <v/>
      </c>
      <c r="D23" s="91" t="str">
        <f t="array" ref="D23">IFERROR(INDEX(TVENTE[DESIGNATION D''ARTICLE],SMALL(IF(TVENTE[N° DE VENTE]=$G$7,ROW(TVENTE[DESIGNATION D''ARTICLE])-5),ROW()-12)),"")</f>
        <v/>
      </c>
      <c r="E23" s="91" t="str">
        <f t="array" ref="E23">IFERROR(INDEX(TVENTE[QTE],SMALL(IF(TVENTE[N° DE VENTE]=$G$7,ROW(TVENTE[QTE])-5),ROW()-12)),"")</f>
        <v/>
      </c>
      <c r="F23" s="91" t="str">
        <f t="array" ref="F23">IFERROR(INDEX(TVENTE[PU],SMALL(IF(TVENTE[N° DE VENTE]=$G$7,ROW(TVENTE[PU])-5),ROW()-12)),"")</f>
        <v/>
      </c>
      <c r="G23" s="106" t="str">
        <f t="shared" si="1"/>
        <v/>
      </c>
    </row>
    <row r="24" spans="2:7" x14ac:dyDescent="0.25">
      <c r="B24" s="91" t="str">
        <f t="shared" si="2"/>
        <v/>
      </c>
      <c r="C24" s="91" t="str">
        <f t="array" ref="C24">IFERROR(INDEX(TVENTE[N° ART],SMALL(IF(TVENTE[N° DE VENTE]=$G$7,ROW(TVENTE[N° ART])-5),ROW()-12)),"")</f>
        <v/>
      </c>
      <c r="D24" s="91" t="str">
        <f t="array" ref="D24">IFERROR(INDEX(TVENTE[DESIGNATION D''ARTICLE],SMALL(IF(TVENTE[N° DE VENTE]=$G$7,ROW(TVENTE[DESIGNATION D''ARTICLE])-5),ROW()-12)),"")</f>
        <v/>
      </c>
      <c r="E24" s="91" t="str">
        <f t="array" ref="E24">IFERROR(INDEX(TVENTE[QTE],SMALL(IF(TVENTE[N° DE VENTE]=$G$7,ROW(TVENTE[QTE])-5),ROW()-12)),"")</f>
        <v/>
      </c>
      <c r="F24" s="91" t="str">
        <f t="array" ref="F24">IFERROR(INDEX(TVENTE[PU],SMALL(IF(TVENTE[N° DE VENTE]=$G$7,ROW(TVENTE[PU])-5),ROW()-12)),"")</f>
        <v/>
      </c>
      <c r="G24" s="106" t="str">
        <f t="shared" si="1"/>
        <v/>
      </c>
    </row>
    <row r="25" spans="2:7" x14ac:dyDescent="0.25">
      <c r="B25" s="91" t="str">
        <f t="shared" si="2"/>
        <v/>
      </c>
      <c r="C25" s="91" t="str">
        <f t="array" ref="C25">IFERROR(INDEX(TVENTE[N° ART],SMALL(IF(TVENTE[N° DE VENTE]=$G$7,ROW(TVENTE[N° ART])-5),ROW()-12)),"")</f>
        <v/>
      </c>
      <c r="D25" s="91" t="str">
        <f t="array" ref="D25">IFERROR(INDEX(TVENTE[DESIGNATION D''ARTICLE],SMALL(IF(TVENTE[N° DE VENTE]=$G$7,ROW(TVENTE[DESIGNATION D''ARTICLE])-5),ROW()-12)),"")</f>
        <v/>
      </c>
      <c r="E25" s="91" t="str">
        <f t="array" ref="E25">IFERROR(INDEX(TVENTE[QTE],SMALL(IF(TVENTE[N° DE VENTE]=$G$7,ROW(TVENTE[QTE])-5),ROW()-12)),"")</f>
        <v/>
      </c>
      <c r="F25" s="91" t="str">
        <f t="array" ref="F25">IFERROR(INDEX(TVENTE[PU],SMALL(IF(TVENTE[N° DE VENTE]=$G$7,ROW(TVENTE[PU])-5),ROW()-12)),"")</f>
        <v/>
      </c>
      <c r="G25" s="106" t="str">
        <f t="shared" si="1"/>
        <v/>
      </c>
    </row>
    <row r="26" spans="2:7" ht="15.75" thickBot="1" x14ac:dyDescent="0.3">
      <c r="B26" s="107"/>
      <c r="C26" s="107"/>
      <c r="D26" s="107"/>
      <c r="E26" s="107"/>
      <c r="F26" s="107"/>
      <c r="G26" s="107"/>
    </row>
    <row r="27" spans="2:7" ht="21.75" thickBot="1" x14ac:dyDescent="0.55000000000000004">
      <c r="B27" s="108" t="s">
        <v>63</v>
      </c>
      <c r="C27" s="109">
        <v>0</v>
      </c>
      <c r="F27" s="110" t="s">
        <v>62</v>
      </c>
      <c r="G27" s="111">
        <f>SUM(G13:G26)</f>
        <v>16000</v>
      </c>
    </row>
    <row r="28" spans="2:7" ht="21.75" thickBot="1" x14ac:dyDescent="0.55000000000000004">
      <c r="F28" s="110" t="s">
        <v>63</v>
      </c>
      <c r="G28" s="111">
        <f>G27*C27</f>
        <v>0</v>
      </c>
    </row>
    <row r="29" spans="2:7" ht="21.75" thickBot="1" x14ac:dyDescent="0.55000000000000004">
      <c r="F29" s="110" t="s">
        <v>64</v>
      </c>
      <c r="G29" s="112">
        <f>G27+G28</f>
        <v>16000</v>
      </c>
    </row>
  </sheetData>
  <mergeCells count="1">
    <mergeCell ref="B1:F4"/>
  </mergeCells>
  <conditionalFormatting sqref="B13:G25">
    <cfRule type="expression" dxfId="0" priority="1">
      <formula>$B13&lt;&gt; ""</formula>
    </cfRule>
  </conditionalFormatting>
  <dataValidations count="1">
    <dataValidation type="list" allowBlank="1" showInputMessage="1" showErrorMessage="1" sqref="G7" xr:uid="{00000000-0002-0000-0B00-000000000000}">
      <formula1>NVT</formula1>
    </dataValidation>
  </dataValidations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8"/>
  <dimension ref="B1:Q48"/>
  <sheetViews>
    <sheetView workbookViewId="0">
      <selection activeCell="J8" sqref="J8"/>
    </sheetView>
  </sheetViews>
  <sheetFormatPr defaultColWidth="11.42578125" defaultRowHeight="15" x14ac:dyDescent="0.25"/>
  <cols>
    <col min="2" max="2" width="12.7109375" customWidth="1"/>
    <col min="7" max="7" width="16.28515625" customWidth="1"/>
    <col min="14" max="14" width="17" bestFit="1" customWidth="1"/>
    <col min="15" max="15" width="8.42578125" customWidth="1"/>
  </cols>
  <sheetData>
    <row r="1" spans="2:17" ht="20.25" x14ac:dyDescent="0.5">
      <c r="M1">
        <v>1</v>
      </c>
      <c r="N1" t="s">
        <v>99</v>
      </c>
      <c r="O1" s="14"/>
      <c r="Q1" s="32"/>
    </row>
    <row r="2" spans="2:17" ht="21" thickBot="1" x14ac:dyDescent="0.55000000000000004">
      <c r="M2">
        <v>2</v>
      </c>
      <c r="N2" t="s">
        <v>100</v>
      </c>
      <c r="O2" s="14"/>
      <c r="Q2" s="32"/>
    </row>
    <row r="3" spans="2:17" ht="21" thickBot="1" x14ac:dyDescent="0.55000000000000004">
      <c r="B3" s="5" t="s">
        <v>46</v>
      </c>
      <c r="C3" s="6"/>
      <c r="D3" s="4"/>
      <c r="E3" s="4"/>
      <c r="F3" s="4"/>
      <c r="G3" s="4"/>
      <c r="M3">
        <v>3</v>
      </c>
      <c r="N3" t="s">
        <v>101</v>
      </c>
      <c r="O3" s="14"/>
      <c r="Q3" s="32"/>
    </row>
    <row r="4" spans="2:17" ht="20.25" x14ac:dyDescent="0.5">
      <c r="B4" s="7" t="s">
        <v>48</v>
      </c>
      <c r="C4" s="7" t="s">
        <v>49</v>
      </c>
      <c r="D4" s="7">
        <f ca="1">YEAR(TODAY())</f>
        <v>2021</v>
      </c>
      <c r="E4" s="7" t="s">
        <v>47</v>
      </c>
      <c r="F4" s="7">
        <v>5</v>
      </c>
      <c r="G4" s="16" t="str">
        <f ca="1">C4&amp;D4&amp;E4&amp;F4</f>
        <v>ACHAT-2021-5</v>
      </c>
      <c r="M4">
        <v>4</v>
      </c>
      <c r="N4" t="s">
        <v>102</v>
      </c>
      <c r="O4" s="14"/>
      <c r="Q4" s="32"/>
    </row>
    <row r="5" spans="2:17" ht="20.25" x14ac:dyDescent="0.5">
      <c r="B5" s="7" t="s">
        <v>164</v>
      </c>
      <c r="C5" s="7" t="s">
        <v>165</v>
      </c>
      <c r="D5" s="7">
        <f ca="1">YEAR(TODAY())</f>
        <v>2021</v>
      </c>
      <c r="E5" s="7" t="s">
        <v>47</v>
      </c>
      <c r="F5" s="7">
        <v>5</v>
      </c>
      <c r="G5" s="16" t="str">
        <f t="shared" ref="G5:G7" ca="1" si="0">C5&amp;D5&amp;E5&amp;F5</f>
        <v>VERS-FR-2021-5</v>
      </c>
      <c r="M5">
        <v>5</v>
      </c>
      <c r="N5" t="s">
        <v>103</v>
      </c>
      <c r="O5" s="14"/>
      <c r="Q5" s="32"/>
    </row>
    <row r="6" spans="2:17" ht="20.25" x14ac:dyDescent="0.5">
      <c r="B6" s="7" t="s">
        <v>70</v>
      </c>
      <c r="C6" s="7" t="s">
        <v>71</v>
      </c>
      <c r="D6" s="7">
        <f ca="1">YEAR(TODAY())</f>
        <v>2021</v>
      </c>
      <c r="E6" s="7" t="s">
        <v>47</v>
      </c>
      <c r="F6" s="7">
        <v>6</v>
      </c>
      <c r="G6" s="16" t="str">
        <f t="shared" ca="1" si="0"/>
        <v>VENTE-2021-6</v>
      </c>
      <c r="M6">
        <v>6</v>
      </c>
      <c r="N6" t="s">
        <v>104</v>
      </c>
      <c r="O6" s="14"/>
      <c r="Q6" s="32"/>
    </row>
    <row r="7" spans="2:17" ht="20.25" x14ac:dyDescent="0.5">
      <c r="B7" s="42" t="s">
        <v>166</v>
      </c>
      <c r="C7" s="42" t="s">
        <v>167</v>
      </c>
      <c r="D7" s="7">
        <f ca="1">YEAR(TODAY())</f>
        <v>2021</v>
      </c>
      <c r="E7" s="7" t="s">
        <v>47</v>
      </c>
      <c r="F7" s="7">
        <v>5</v>
      </c>
      <c r="G7" s="16" t="str">
        <f t="shared" ca="1" si="0"/>
        <v>VERS-CLT-2021-5</v>
      </c>
      <c r="M7">
        <v>7</v>
      </c>
      <c r="N7" t="s">
        <v>105</v>
      </c>
      <c r="O7" s="14"/>
      <c r="Q7" s="32"/>
    </row>
    <row r="8" spans="2:17" ht="21" thickBot="1" x14ac:dyDescent="0.55000000000000004">
      <c r="M8">
        <v>8</v>
      </c>
      <c r="N8" t="s">
        <v>106</v>
      </c>
      <c r="O8" s="14"/>
      <c r="Q8" s="32"/>
    </row>
    <row r="9" spans="2:17" ht="21" thickBot="1" x14ac:dyDescent="0.55000000000000004">
      <c r="B9" s="5" t="s">
        <v>69</v>
      </c>
      <c r="C9" s="6"/>
      <c r="D9" s="4"/>
      <c r="E9" s="4"/>
      <c r="F9" s="4"/>
      <c r="G9" s="4"/>
      <c r="M9">
        <v>9</v>
      </c>
      <c r="N9" t="s">
        <v>107</v>
      </c>
      <c r="O9" s="14"/>
      <c r="Q9" s="32"/>
    </row>
    <row r="10" spans="2:17" ht="20.25" x14ac:dyDescent="0.5">
      <c r="B10" s="7" t="s">
        <v>72</v>
      </c>
      <c r="C10" s="7"/>
      <c r="D10" s="7"/>
      <c r="E10" s="7"/>
      <c r="F10" s="7"/>
      <c r="G10" s="8"/>
      <c r="M10">
        <v>10</v>
      </c>
      <c r="N10" t="s">
        <v>108</v>
      </c>
      <c r="O10" s="14"/>
      <c r="Q10" s="32"/>
    </row>
    <row r="11" spans="2:17" ht="20.25" x14ac:dyDescent="0.5">
      <c r="B11" s="7" t="s">
        <v>73</v>
      </c>
      <c r="C11" s="7"/>
      <c r="D11" s="7"/>
      <c r="E11" s="7"/>
      <c r="F11" s="7"/>
      <c r="G11" s="8"/>
      <c r="M11">
        <v>11</v>
      </c>
      <c r="N11" t="s">
        <v>109</v>
      </c>
      <c r="O11" s="14"/>
      <c r="Q11" s="32"/>
    </row>
    <row r="12" spans="2:17" ht="20.25" x14ac:dyDescent="0.5">
      <c r="B12" s="7" t="s">
        <v>74</v>
      </c>
      <c r="C12" s="7"/>
      <c r="D12" s="7"/>
      <c r="E12" s="7"/>
      <c r="F12" s="7"/>
      <c r="G12" s="8"/>
      <c r="M12">
        <v>12</v>
      </c>
      <c r="N12" t="s">
        <v>110</v>
      </c>
      <c r="O12" s="14"/>
      <c r="Q12" s="32"/>
    </row>
    <row r="13" spans="2:17" ht="20.25" x14ac:dyDescent="0.5">
      <c r="B13" s="7" t="s">
        <v>75</v>
      </c>
      <c r="C13" s="7"/>
      <c r="D13" s="7"/>
      <c r="E13" s="7"/>
      <c r="F13" s="7"/>
      <c r="G13" s="8"/>
      <c r="M13">
        <v>13</v>
      </c>
      <c r="N13" t="s">
        <v>111</v>
      </c>
      <c r="O13" s="14"/>
      <c r="Q13" s="32"/>
    </row>
    <row r="14" spans="2:17" ht="20.25" x14ac:dyDescent="0.5">
      <c r="M14">
        <v>14</v>
      </c>
      <c r="N14" t="s">
        <v>112</v>
      </c>
      <c r="O14" s="14"/>
      <c r="Q14" s="32"/>
    </row>
    <row r="15" spans="2:17" ht="20.25" x14ac:dyDescent="0.5">
      <c r="M15">
        <v>15</v>
      </c>
      <c r="N15" t="s">
        <v>113</v>
      </c>
      <c r="O15" s="14"/>
      <c r="Q15" s="32"/>
    </row>
    <row r="16" spans="2:17" ht="20.25" x14ac:dyDescent="0.5">
      <c r="M16">
        <v>16</v>
      </c>
      <c r="N16" t="s">
        <v>114</v>
      </c>
      <c r="O16" s="14"/>
      <c r="Q16" s="32"/>
    </row>
    <row r="17" spans="13:17" ht="20.25" x14ac:dyDescent="0.5">
      <c r="M17">
        <v>17</v>
      </c>
      <c r="N17" t="s">
        <v>115</v>
      </c>
      <c r="O17" s="14"/>
      <c r="Q17" s="32"/>
    </row>
    <row r="18" spans="13:17" ht="20.25" x14ac:dyDescent="0.5">
      <c r="M18">
        <v>18</v>
      </c>
      <c r="N18" t="s">
        <v>116</v>
      </c>
      <c r="O18" s="14"/>
      <c r="Q18" s="32"/>
    </row>
    <row r="19" spans="13:17" ht="20.25" x14ac:dyDescent="0.5">
      <c r="M19">
        <v>19</v>
      </c>
      <c r="N19" t="s">
        <v>117</v>
      </c>
      <c r="O19" s="14"/>
      <c r="Q19" s="32"/>
    </row>
    <row r="20" spans="13:17" ht="20.25" x14ac:dyDescent="0.5">
      <c r="M20">
        <v>20</v>
      </c>
      <c r="N20" t="s">
        <v>118</v>
      </c>
      <c r="O20" s="14"/>
      <c r="Q20" s="32"/>
    </row>
    <row r="21" spans="13:17" ht="20.25" x14ac:dyDescent="0.5">
      <c r="M21">
        <v>21</v>
      </c>
      <c r="N21" t="s">
        <v>119</v>
      </c>
      <c r="O21" s="14"/>
      <c r="Q21" s="32"/>
    </row>
    <row r="22" spans="13:17" ht="20.25" x14ac:dyDescent="0.5">
      <c r="M22">
        <v>22</v>
      </c>
      <c r="N22" t="s">
        <v>120</v>
      </c>
      <c r="O22" s="14"/>
      <c r="Q22" s="32"/>
    </row>
    <row r="23" spans="13:17" ht="20.25" x14ac:dyDescent="0.5">
      <c r="M23">
        <v>23</v>
      </c>
      <c r="N23" t="s">
        <v>121</v>
      </c>
      <c r="O23" s="14"/>
      <c r="Q23" s="32"/>
    </row>
    <row r="24" spans="13:17" ht="20.25" x14ac:dyDescent="0.5">
      <c r="M24">
        <v>24</v>
      </c>
      <c r="N24" t="s">
        <v>122</v>
      </c>
      <c r="O24" s="14"/>
      <c r="Q24" s="32"/>
    </row>
    <row r="25" spans="13:17" ht="20.25" x14ac:dyDescent="0.5">
      <c r="M25">
        <v>25</v>
      </c>
      <c r="N25" t="s">
        <v>123</v>
      </c>
      <c r="O25" s="14"/>
      <c r="Q25" s="32"/>
    </row>
    <row r="26" spans="13:17" ht="20.25" x14ac:dyDescent="0.5">
      <c r="M26">
        <v>26</v>
      </c>
      <c r="N26" t="s">
        <v>124</v>
      </c>
      <c r="O26" s="14"/>
      <c r="Q26" s="32"/>
    </row>
    <row r="27" spans="13:17" ht="20.25" x14ac:dyDescent="0.5">
      <c r="M27">
        <v>27</v>
      </c>
      <c r="N27" t="s">
        <v>125</v>
      </c>
      <c r="O27" s="14"/>
      <c r="Q27" s="32"/>
    </row>
    <row r="28" spans="13:17" ht="20.25" x14ac:dyDescent="0.5">
      <c r="M28">
        <v>28</v>
      </c>
      <c r="N28" t="s">
        <v>126</v>
      </c>
      <c r="O28" s="14"/>
      <c r="Q28" s="32"/>
    </row>
    <row r="29" spans="13:17" ht="20.25" x14ac:dyDescent="0.5">
      <c r="M29">
        <v>29</v>
      </c>
      <c r="N29" t="s">
        <v>127</v>
      </c>
      <c r="O29" s="14"/>
      <c r="Q29" s="32"/>
    </row>
    <row r="30" spans="13:17" ht="20.25" x14ac:dyDescent="0.5">
      <c r="M30">
        <v>30</v>
      </c>
      <c r="N30" t="s">
        <v>128</v>
      </c>
      <c r="O30" s="14"/>
      <c r="Q30" s="32"/>
    </row>
    <row r="31" spans="13:17" ht="20.25" x14ac:dyDescent="0.5">
      <c r="M31">
        <v>31</v>
      </c>
      <c r="N31" t="s">
        <v>129</v>
      </c>
      <c r="O31" s="14"/>
      <c r="Q31" s="32"/>
    </row>
    <row r="32" spans="13:17" ht="20.25" x14ac:dyDescent="0.5">
      <c r="M32">
        <v>32</v>
      </c>
      <c r="N32" t="s">
        <v>130</v>
      </c>
      <c r="O32" s="14"/>
      <c r="Q32" s="32"/>
    </row>
    <row r="33" spans="13:17" ht="20.25" x14ac:dyDescent="0.5">
      <c r="M33">
        <v>33</v>
      </c>
      <c r="N33" t="s">
        <v>131</v>
      </c>
      <c r="O33" s="14"/>
      <c r="Q33" s="32"/>
    </row>
    <row r="34" spans="13:17" ht="20.25" x14ac:dyDescent="0.5">
      <c r="M34">
        <v>34</v>
      </c>
      <c r="N34" t="s">
        <v>132</v>
      </c>
      <c r="O34" s="14"/>
      <c r="Q34" s="32"/>
    </row>
    <row r="35" spans="13:17" ht="20.25" x14ac:dyDescent="0.5">
      <c r="M35">
        <v>35</v>
      </c>
      <c r="N35" t="s">
        <v>133</v>
      </c>
      <c r="O35" s="14"/>
      <c r="Q35" s="32"/>
    </row>
    <row r="36" spans="13:17" ht="20.25" x14ac:dyDescent="0.5">
      <c r="M36">
        <v>36</v>
      </c>
      <c r="N36" t="s">
        <v>134</v>
      </c>
      <c r="O36" s="14"/>
      <c r="Q36" s="32"/>
    </row>
    <row r="37" spans="13:17" ht="20.25" x14ac:dyDescent="0.5">
      <c r="M37">
        <v>37</v>
      </c>
      <c r="N37" t="s">
        <v>135</v>
      </c>
      <c r="O37" s="14"/>
      <c r="Q37" s="32"/>
    </row>
    <row r="38" spans="13:17" ht="20.25" x14ac:dyDescent="0.5">
      <c r="M38">
        <v>38</v>
      </c>
      <c r="N38" t="s">
        <v>136</v>
      </c>
      <c r="O38" s="14"/>
      <c r="Q38" s="32"/>
    </row>
    <row r="39" spans="13:17" ht="20.25" x14ac:dyDescent="0.5">
      <c r="M39">
        <v>39</v>
      </c>
      <c r="N39" t="s">
        <v>137</v>
      </c>
      <c r="O39" s="14"/>
      <c r="Q39" s="32"/>
    </row>
    <row r="40" spans="13:17" ht="20.25" x14ac:dyDescent="0.5">
      <c r="M40">
        <v>40</v>
      </c>
      <c r="N40" t="s">
        <v>138</v>
      </c>
      <c r="O40" s="14"/>
      <c r="Q40" s="32"/>
    </row>
    <row r="41" spans="13:17" ht="20.25" x14ac:dyDescent="0.5">
      <c r="M41">
        <v>41</v>
      </c>
      <c r="N41" t="s">
        <v>139</v>
      </c>
      <c r="O41" s="14"/>
      <c r="Q41" s="32"/>
    </row>
    <row r="42" spans="13:17" ht="20.25" x14ac:dyDescent="0.5">
      <c r="M42">
        <v>42</v>
      </c>
      <c r="N42" t="s">
        <v>140</v>
      </c>
      <c r="O42" s="14"/>
      <c r="Q42" s="32"/>
    </row>
    <row r="43" spans="13:17" ht="20.25" x14ac:dyDescent="0.5">
      <c r="M43">
        <v>43</v>
      </c>
      <c r="N43" t="s">
        <v>141</v>
      </c>
      <c r="O43" s="14"/>
      <c r="Q43" s="32"/>
    </row>
    <row r="44" spans="13:17" ht="20.25" x14ac:dyDescent="0.5">
      <c r="M44">
        <v>44</v>
      </c>
      <c r="N44" t="s">
        <v>142</v>
      </c>
      <c r="O44" s="14"/>
      <c r="Q44" s="32"/>
    </row>
    <row r="45" spans="13:17" ht="20.25" x14ac:dyDescent="0.5">
      <c r="M45">
        <v>45</v>
      </c>
      <c r="N45" t="s">
        <v>143</v>
      </c>
      <c r="O45" s="14"/>
      <c r="Q45" s="32"/>
    </row>
    <row r="46" spans="13:17" ht="20.25" x14ac:dyDescent="0.5">
      <c r="M46">
        <v>46</v>
      </c>
      <c r="N46" t="s">
        <v>144</v>
      </c>
      <c r="O46" s="14"/>
      <c r="Q46" s="32"/>
    </row>
    <row r="47" spans="13:17" ht="20.25" x14ac:dyDescent="0.5">
      <c r="M47">
        <v>47</v>
      </c>
      <c r="N47" t="s">
        <v>145</v>
      </c>
      <c r="O47" s="14"/>
      <c r="Q47" s="32"/>
    </row>
    <row r="48" spans="13:17" ht="20.25" x14ac:dyDescent="0.5">
      <c r="M48">
        <v>48</v>
      </c>
      <c r="N48" t="s">
        <v>146</v>
      </c>
      <c r="O48" s="14"/>
      <c r="Q48" s="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</vt:i4>
      </vt:variant>
    </vt:vector>
  </HeadingPairs>
  <TitlesOfParts>
    <vt:vector size="46" baseType="lpstr">
      <vt:lpstr>ACCEUIL</vt:lpstr>
      <vt:lpstr>SUIVI CLIENT</vt:lpstr>
      <vt:lpstr>SUIVI FOURNISEEUR</vt:lpstr>
      <vt:lpstr>ARTICLES</vt:lpstr>
      <vt:lpstr>CLIENTS</vt:lpstr>
      <vt:lpstr>FOURNISSEURS</vt:lpstr>
      <vt:lpstr>ACHATS</vt:lpstr>
      <vt:lpstr>BON D'ACHAT</vt:lpstr>
      <vt:lpstr>VERSEMENT FOURNISSEURS</vt:lpstr>
      <vt:lpstr>VERSEMENT CLIENTS</vt:lpstr>
      <vt:lpstr>VENTE</vt:lpstr>
      <vt:lpstr>BON VENTE</vt:lpstr>
      <vt:lpstr>CONFIGURATION</vt:lpstr>
      <vt:lpstr>ACCEUIL!ART</vt:lpstr>
      <vt:lpstr>'BON VENTE'!ART</vt:lpstr>
      <vt:lpstr>'SUIVI CLIENT'!ART</vt:lpstr>
      <vt:lpstr>ART</vt:lpstr>
      <vt:lpstr>ACCEUIL!CLIENTS</vt:lpstr>
      <vt:lpstr>'SUIVI CLIENT'!CLIENTS</vt:lpstr>
      <vt:lpstr>CLIENTS</vt:lpstr>
      <vt:lpstr>ACCEUIL!Criteria</vt:lpstr>
      <vt:lpstr>ACHATS!Criteria</vt:lpstr>
      <vt:lpstr>FOURNISSEURS!Criteria</vt:lpstr>
      <vt:lpstr>'SUIVI FOURNISEEUR'!Criteria</vt:lpstr>
      <vt:lpstr>VENTE!Criteria</vt:lpstr>
      <vt:lpstr>'VERSEMENT CLIENTS'!Criteria</vt:lpstr>
      <vt:lpstr>'VERSEMENT FOURNISSEURS'!Criteria</vt:lpstr>
      <vt:lpstr>ACCEUIL!Extract</vt:lpstr>
      <vt:lpstr>ACHATS!Extract</vt:lpstr>
      <vt:lpstr>FOURNISSEURS!Extract</vt:lpstr>
      <vt:lpstr>'SUIVI FOURNISEEUR'!Extract</vt:lpstr>
      <vt:lpstr>VENTE!Extract</vt:lpstr>
      <vt:lpstr>'VERSEMENT CLIENTS'!Extract</vt:lpstr>
      <vt:lpstr>'VERSEMENT FOURNISSEURS'!Extract</vt:lpstr>
      <vt:lpstr>ACCEUIL!FOURNISSEURS</vt:lpstr>
      <vt:lpstr>'SUIVI CLIENT'!FOURNISSEURS</vt:lpstr>
      <vt:lpstr>FOURNISSEURS</vt:lpstr>
      <vt:lpstr>ACCEUIL!NACHT</vt:lpstr>
      <vt:lpstr>'BON VENTE'!NACHT</vt:lpstr>
      <vt:lpstr>'SUIVI CLIENT'!NACHT</vt:lpstr>
      <vt:lpstr>NACHT</vt:lpstr>
      <vt:lpstr>ACCEUIL!NVT</vt:lpstr>
      <vt:lpstr>NVT</vt:lpstr>
      <vt:lpstr>'BON D''ACHAT'!Print_Area</vt:lpstr>
      <vt:lpstr>'BON VENTE'!Print_Area</vt:lpstr>
      <vt:lpstr>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2021-02-01T16:12:48Z</dcterms:modified>
</cp:coreProperties>
</file>